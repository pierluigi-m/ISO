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media/image47.png" ContentType="image/png"/>
  <Override PartName="/xl/media/image46.wmf" ContentType="image/x-wmf"/>
  <Override PartName="/xl/media/image44.wmf" ContentType="image/x-wmf"/>
  <Override PartName="/xl/media/image43.wmf" ContentType="image/x-wmf"/>
  <Override PartName="/xl/media/image41.wmf" ContentType="image/x-wmf"/>
  <Override PartName="/xl/media/image48.jpeg" ContentType="image/jpeg"/>
  <Override PartName="/xl/media/image34.jpeg" ContentType="image/jpeg"/>
  <Override PartName="/xl/media/image38.jpeg" ContentType="image/jpeg"/>
  <Override PartName="/xl/media/image33.jpeg" ContentType="image/jpeg"/>
  <Override PartName="/xl/media/image42.wmf" ContentType="image/x-wmf"/>
  <Override PartName="/xl/media/image40.png" ContentType="image/png"/>
  <Override PartName="/xl/media/image35.jpeg" ContentType="image/jpeg"/>
  <Override PartName="/xl/media/image45.wmf" ContentType="image/x-wmf"/>
  <Override PartName="/xl/media/image36.jpeg" ContentType="image/jpeg"/>
  <Override PartName="/xl/media/image39.png" ContentType="image/png"/>
  <Override PartName="/xl/media/image37.jpeg" ContentType="image/jpeg"/>
  <Override PartName="/xl/vbaProject.bin" ContentType="application/vnd.ms-office.vbaProject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ssier formateur externe" sheetId="1" state="visible" r:id="rId3"/>
    <sheet name="Demande de dérogation EI" sheetId="2" state="visible" r:id="rId4"/>
    <sheet name="listes " sheetId="3" state="visible" r:id="rId5"/>
    <sheet name="listes" sheetId="4" state="hidden" r:id="rId6"/>
  </sheets>
  <definedNames>
    <definedName function="false" hidden="false" localSheetId="1" name="_xlnm.Print_Area" vbProcedure="false">'Demande de dérogation EI'!$A$1:$H$19</definedName>
    <definedName function="false" hidden="false" localSheetId="0" name="_xlnm.Print_Area" vbProcedure="false">'Dossier formateur externe'!$A$1:$G$128</definedName>
    <definedName function="false" hidden="false" name="cycles" vbProcedure="false">listes!$K$2:$K$4</definedName>
    <definedName function="false" hidden="false" name="départ" vbProcedure="false">'dossier formateur externe'!#ref!</definedName>
    <definedName function="false" hidden="false" name="Enseignement" vbProcedure="false">listes!$F$2:$F$9</definedName>
    <definedName function="false" hidden="false" name="fonction" vbProcedure="false">listes!$I$2:$I$5</definedName>
    <definedName function="false" hidden="false" name="Recherche" vbProcedure="false">listes!$G$2:$G$9</definedName>
    <definedName function="false" hidden="false" name="recherche__enseignement" vbProcedure="false">listes!$C$2:$C$5</definedName>
    <definedName function="false" hidden="false" name="salarié" vbProcedure="false">listes!$H$2:$H$7+listes!$H$2:$H$9</definedName>
    <definedName function="false" hidden="false" name="statut" vbProcedure="false">listes!$B$2:$B$6</definedName>
    <definedName function="false" hidden="false" name="Vacataire" vbProcedure="false">listes!$L$2:$L$6</definedName>
    <definedName function="false" hidden="false" localSheetId="2" name="cycles" vbProcedure="false">'listes '!$K$2:$K$4</definedName>
    <definedName function="false" hidden="false" localSheetId="2" name="départ" vbProcedure="false">'[1]dossier formateur externe'!#ref!</definedName>
    <definedName function="false" hidden="false" localSheetId="2" name="Enseignement" vbProcedure="false">'listes '!$F$2:$F$9</definedName>
    <definedName function="false" hidden="false" localSheetId="2" name="fonction" vbProcedure="false">'listes '!$I$2:$I$5</definedName>
    <definedName function="false" hidden="false" localSheetId="2" name="Recherche" vbProcedure="false">'listes '!$G$2:$G$9</definedName>
    <definedName function="false" hidden="false" localSheetId="2" name="recherche__enseignement" vbProcedure="false">'listes '!$C$2:$C$5</definedName>
    <definedName function="false" hidden="false" localSheetId="2" name="salarié" vbProcedure="false">'listes '!$H$2:$H$7+'listes '!$H$2:$H$9</definedName>
    <definedName function="false" hidden="false" localSheetId="2" name="statut" vbProcedure="false">'listes '!$B$2:$B$6</definedName>
    <definedName function="false" hidden="false" localSheetId="2" name="Vacataire" vbProcedure="false">'listes '!$L$2:$L$6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<sst xmlns="http://schemas.openxmlformats.org/spreadsheetml/2006/main" count="422" uniqueCount="183">
  <si>
    <t xml:space="preserve">DOSSIER FORMATEUR </t>
  </si>
  <si>
    <t xml:space="preserve">A COMPLETER PAR LE FORMATEUR </t>
  </si>
  <si>
    <r>
      <rPr>
        <b val="true"/>
        <sz val="16"/>
        <color rgb="FFFFC845"/>
        <rFont val="Calibri"/>
        <family val="2"/>
        <charset val="1"/>
      </rPr>
      <t xml:space="preserve">&gt;</t>
    </r>
    <r>
      <rPr>
        <b val="true"/>
        <sz val="11"/>
        <rFont val="Calibri"/>
        <family val="2"/>
        <charset val="1"/>
      </rPr>
      <t xml:space="preserve"> INFORMATIONS GENERALES</t>
    </r>
  </si>
  <si>
    <t xml:space="preserve">* champs obligatoires</t>
  </si>
  <si>
    <t xml:space="preserve">Nom*:</t>
  </si>
  <si>
    <t xml:space="preserve">MIGLIANO</t>
  </si>
  <si>
    <t xml:space="preserve">Prénom*:</t>
  </si>
  <si>
    <t xml:space="preserve">Pierluigi</t>
  </si>
  <si>
    <t xml:space="preserve">Adresse*: </t>
  </si>
  <si>
    <t xml:space="preserve">69 Rue du Docteur Escat</t>
  </si>
  <si>
    <t xml:space="preserve">Code postal*:</t>
  </si>
  <si>
    <t xml:space="preserve">Ville*:</t>
  </si>
  <si>
    <t xml:space="preserve">Marseille</t>
  </si>
  <si>
    <t xml:space="preserve">Date de naissance*:</t>
  </si>
  <si>
    <t xml:space="preserve">Lieu de naissance*:</t>
  </si>
  <si>
    <t xml:space="preserve"> Milano (Italie)</t>
  </si>
  <si>
    <t xml:space="preserve">Téléphone personnel:</t>
  </si>
  <si>
    <t xml:space="preserve">Téléphone portable*:</t>
  </si>
  <si>
    <t xml:space="preserve">0768015226</t>
  </si>
  <si>
    <t xml:space="preserve">e-mail*:</t>
  </si>
  <si>
    <t xml:space="preserve">pierluigimigliano@gmail.com</t>
  </si>
  <si>
    <t xml:space="preserve">Sélectionnez votre situation*: </t>
  </si>
  <si>
    <t xml:space="preserve">Formateur occasionnel</t>
  </si>
  <si>
    <t xml:space="preserve">(Sélectionner à l’aide du menu déroulant )</t>
  </si>
  <si>
    <t xml:space="preserve">Champs d'intervention*:</t>
  </si>
  <si>
    <t xml:space="preserve">CESI Ecole d'Ingénieurs</t>
  </si>
  <si>
    <t xml:space="preserve">NON</t>
  </si>
  <si>
    <t xml:space="preserve">Enseignement</t>
  </si>
  <si>
    <t xml:space="preserve">INFORMATIONS SUR LES COMPETENCES DU FORMATEUR:</t>
  </si>
  <si>
    <t xml:space="preserve">EXPERIENCES INDUSTRIELLES:</t>
  </si>
  <si>
    <t xml:space="preserve">ENTREPRISES</t>
  </si>
  <si>
    <t xml:space="preserve">FONCTIONS</t>
  </si>
  <si>
    <t xml:space="preserve">NB D'ANNEES</t>
  </si>
  <si>
    <t xml:space="preserve">EXPERIENCES DANS L'ENSEIGNEMENT SUPERIEUR:</t>
  </si>
  <si>
    <t xml:space="preserve">ETABLISSEMENTS</t>
  </si>
  <si>
    <t xml:space="preserve">PUBLICS</t>
  </si>
  <si>
    <t xml:space="preserve">Bayreuth University</t>
  </si>
  <si>
    <t xml:space="preserve">Licence et Master de Physique</t>
  </si>
  <si>
    <t xml:space="preserve">ISO Marseille</t>
  </si>
  <si>
    <t xml:space="preserve">BTS Opticien Lunetier</t>
  </si>
  <si>
    <t xml:space="preserve">IPSA</t>
  </si>
  <si>
    <t xml:space="preserve">Classe Prépa PTSI</t>
  </si>
  <si>
    <t xml:space="preserve">EXPERIENCES DANS LA RECHERCHE:</t>
  </si>
  <si>
    <t xml:space="preserve">LABORATOIRES</t>
  </si>
  <si>
    <t xml:space="preserve">SUJETS DE RECHERCHE</t>
  </si>
  <si>
    <t xml:space="preserve">Physique des plasmas – Fusion nucléaire</t>
  </si>
  <si>
    <t xml:space="preserve">PIIM – Aix-Marseille Université</t>
  </si>
  <si>
    <t xml:space="preserve">Publications: </t>
  </si>
  <si>
    <t xml:space="preserve">OUI</t>
  </si>
  <si>
    <t xml:space="preserve">PARTIE RESERVEE A CESI</t>
  </si>
  <si>
    <t xml:space="preserve">VERIFICATION DES PREREQUIS D'AGREMENT POUR L'ECOLE D'INGENIEUR</t>
  </si>
  <si>
    <t xml:space="preserve">Il est titulaire d'un diplôme supérieur ou égal à BAC + 5:</t>
  </si>
  <si>
    <r>
      <rPr>
        <sz val="18"/>
        <color rgb="FF000000"/>
        <rFont val="Calibri"/>
        <family val="2"/>
        <charset val="1"/>
      </rPr>
      <t xml:space="preserve">FICHE D'AGREMENT - </t>
    </r>
    <r>
      <rPr>
        <sz val="11"/>
        <color rgb="FF000000"/>
        <rFont val="Calibri"/>
        <family val="2"/>
        <charset val="1"/>
      </rPr>
      <t xml:space="preserve">A REMPLIR PAR CESI</t>
    </r>
  </si>
  <si>
    <t xml:space="preserve">Nom du formateur :</t>
  </si>
  <si>
    <t xml:space="preserve">Prénom:</t>
  </si>
  <si>
    <t xml:space="preserve">Ecole(s):</t>
  </si>
  <si>
    <t xml:space="preserve">Modules enseignés</t>
  </si>
  <si>
    <t xml:space="preserve">Tarif horaire :</t>
  </si>
  <si>
    <t xml:space="preserve">Rappel statut: </t>
  </si>
  <si>
    <t xml:space="preserve">Observations:</t>
  </si>
  <si>
    <t xml:space="preserve">Dossier formateur géré en région:</t>
  </si>
  <si>
    <t xml:space="preserve">(si non, dossier à transmettre à la DG)</t>
  </si>
  <si>
    <t xml:space="preserve">Entretien* mené le:</t>
  </si>
  <si>
    <t xml:space="preserve">Dossier validé le:</t>
  </si>
  <si>
    <t xml:space="preserve">*Le compte-rendu de l’entretien avec le nouveau formateur doit être enregistré dans la fiche personne de Bora (action commerciale de type « entretien d’agrément d’intervenant »).</t>
  </si>
  <si>
    <t xml:space="preserve">DOSSIER FORMATEUR
DEMANDE DE DEROGATION</t>
  </si>
  <si>
    <t xml:space="preserve">Nom et prénom du formateur</t>
  </si>
  <si>
    <r>
      <rPr>
        <sz val="12"/>
        <color rgb="FF000000"/>
        <rFont val="Calibri"/>
        <family val="2"/>
        <charset val="1"/>
      </rPr>
      <t xml:space="preserve">Cette demande doit être transmise avec l’ensemble du dossier de l’enseignant au directeur de l'école d'ingénieurs cesi, pour tout enseignant devant </t>
    </r>
    <r>
      <rPr>
        <b val="true"/>
        <u val="single"/>
        <sz val="12"/>
        <color rgb="FF000000"/>
        <rFont val="Calibri"/>
        <family val="2"/>
        <charset val="1"/>
      </rPr>
      <t xml:space="preserve">intervenir sur des cycles de l'école d'ingénieurs</t>
    </r>
    <r>
      <rPr>
        <sz val="12"/>
        <color rgb="FF000000"/>
        <rFont val="Calibri"/>
        <family val="2"/>
        <charset val="1"/>
      </rPr>
      <t xml:space="preserve"> et n'ayant pas le niveau de formation requis.</t>
    </r>
  </si>
  <si>
    <t xml:space="preserve">Nom du centre :</t>
  </si>
  <si>
    <t xml:space="preserve">Justification de la demande:</t>
  </si>
  <si>
    <t xml:space="preserve">Date:</t>
  </si>
  <si>
    <t xml:space="preserve">Visa du Directeur de centre:</t>
  </si>
  <si>
    <t xml:space="preserve">AVIS DU DIRECTEUR CESI ECOLE D'INGENIEURS :</t>
  </si>
  <si>
    <t xml:space="preserve">FAVORABLE</t>
  </si>
  <si>
    <t xml:space="preserve">(cocher "appartient au corps enseignant" dans la fiche personne au niveau de Bora)</t>
  </si>
  <si>
    <t xml:space="preserve">DEFAVORABLE</t>
  </si>
  <si>
    <t xml:space="preserve">Signature:</t>
  </si>
  <si>
    <t xml:space="preserve">statut</t>
  </si>
  <si>
    <t xml:space="preserve">recherche/ enseignement</t>
  </si>
  <si>
    <t xml:space="preserve">Marques</t>
  </si>
  <si>
    <t xml:space="preserve">recherche</t>
  </si>
  <si>
    <t xml:space="preserve">enseignement</t>
  </si>
  <si>
    <t xml:space="preserve">Salarié</t>
  </si>
  <si>
    <t xml:space="preserve">fonction</t>
  </si>
  <si>
    <t xml:space="preserve">cycles</t>
  </si>
  <si>
    <t xml:space="preserve">Vacataire</t>
  </si>
  <si>
    <t xml:space="preserve">Salarié(e) CESI</t>
  </si>
  <si>
    <t xml:space="preserve">Recherche</t>
  </si>
  <si>
    <t xml:space="preserve">Professeur des Universités</t>
  </si>
  <si>
    <t xml:space="preserve">Professeur agrégé PRAG</t>
  </si>
  <si>
    <t xml:space="preserve">Enseignant chercheur</t>
  </si>
  <si>
    <t xml:space="preserve">Directeur régional</t>
  </si>
  <si>
    <t xml:space="preserve">HT</t>
  </si>
  <si>
    <t xml:space="preserve">préparatoires</t>
  </si>
  <si>
    <t xml:space="preserve">Vacataire académique (Formateur indépendant)</t>
  </si>
  <si>
    <t xml:space="preserve">D3</t>
  </si>
  <si>
    <t xml:space="preserve">CESI Ecole Supérieure de l'Alternance / Ecole de Formation des Managers</t>
  </si>
  <si>
    <t xml:space="preserve">Maître de conférences</t>
  </si>
  <si>
    <t xml:space="preserve">Doctorant (non ATER)</t>
  </si>
  <si>
    <t xml:space="preserve">ingénieur chercheur</t>
  </si>
  <si>
    <t xml:space="preserve">Responsable de département</t>
  </si>
  <si>
    <t xml:space="preserve">Net</t>
  </si>
  <si>
    <t xml:space="preserve">ingénieurs et post master</t>
  </si>
  <si>
    <t xml:space="preserve">Industriel</t>
  </si>
  <si>
    <t xml:space="preserve">EI</t>
  </si>
  <si>
    <t xml:space="preserve">Indépendant, auto-entrepreneur</t>
  </si>
  <si>
    <t xml:space="preserve">Toutes les Ecoles</t>
  </si>
  <si>
    <t xml:space="preserve">Attaché temporaire enseignement et recherche</t>
  </si>
  <si>
    <t xml:space="preserve">Agrégé du secondaire</t>
  </si>
  <si>
    <t xml:space="preserve">Enseignant formateur</t>
  </si>
  <si>
    <t xml:space="preserve">Brut</t>
  </si>
  <si>
    <t xml:space="preserve">Consultant formateur</t>
  </si>
  <si>
    <t xml:space="preserve">E2</t>
  </si>
  <si>
    <t xml:space="preserve">Personnalité morale</t>
  </si>
  <si>
    <t xml:space="preserve">Maître de conférence associé</t>
  </si>
  <si>
    <t xml:space="preserve">Certifié du secondaire</t>
  </si>
  <si>
    <t xml:space="preserve">Surveillant CCTL</t>
  </si>
  <si>
    <t xml:space="preserve">Vacataire pour les langues</t>
  </si>
  <si>
    <t xml:space="preserve">F</t>
  </si>
  <si>
    <t xml:space="preserve">Professeur d’université associé.</t>
  </si>
  <si>
    <t xml:space="preserve">Contractuel</t>
  </si>
  <si>
    <t xml:space="preserve">Assistante</t>
  </si>
  <si>
    <t xml:space="preserve">Chercheur CNRS</t>
  </si>
  <si>
    <t xml:space="preserve">Etudiant</t>
  </si>
  <si>
    <t xml:space="preserve">Autre chercheur</t>
  </si>
  <si>
    <t xml:space="preserve">Autre non-chercheur</t>
  </si>
  <si>
    <t xml:space="preserve">oui</t>
  </si>
  <si>
    <t xml:space="preserve">non</t>
  </si>
  <si>
    <t xml:space="preserve">Formateur professionnel (statut 1) exerçant en profession libérale, indépendant, autoentrepreneur, etc.</t>
  </si>
  <si>
    <t xml:space="preserve">Enseignants externes effectuant une activité de recherche</t>
  </si>
  <si>
    <t xml:space="preserve">Enseignant du supérieur ayant ce statut. 
Il est dans ce cas rattaché à une Université ou Ecole et normalement à un laboratoire de recherche. Il est dans ce cas habilité à diriger des recherches (HDR).</t>
  </si>
  <si>
    <t xml:space="preserve">A3</t>
  </si>
  <si>
    <t xml:space="preserve">D1</t>
  </si>
  <si>
    <t xml:space="preserve">Personne morale (statut 1): SA, SARL, 
entreprise, association, etc.</t>
  </si>
  <si>
    <t xml:space="preserve">Enseignant du supérieur ayant ce statut. 
Il est dans ce cas rattaché à une Université ou Ecole et normalement à un laboratoire de recherche.</t>
  </si>
  <si>
    <t xml:space="preserve">B3</t>
  </si>
  <si>
    <t xml:space="preserve">D2</t>
  </si>
  <si>
    <r>
      <rPr>
        <sz val="11"/>
        <color rgb="FF000000"/>
        <rFont val="Calibri"/>
        <family val="2"/>
        <charset val="1"/>
      </rPr>
      <t xml:space="preserve">Formateur occasionnel (statut 2): salarié d'entreprise, fonctionnaire, etc. 
</t>
    </r>
    <r>
      <rPr>
        <b val="true"/>
        <sz val="11"/>
        <color rgb="FF000000"/>
        <rFont val="Calibri"/>
        <family val="2"/>
        <charset val="1"/>
      </rPr>
      <t xml:space="preserve">29 interventions maximun par an.</t>
    </r>
  </si>
  <si>
    <t xml:space="preserve">Attaché Temporaire d'Enseignement et de Recherche : poste à DD d'enseignant-chercheur fréquemment tenus par des doctorants ou jeunes docteurs.</t>
  </si>
  <si>
    <t xml:space="preserve">Maître de conférences associé.</t>
  </si>
  <si>
    <t xml:space="preserve">Enseignant ayant des activités de recherche (publications) et salarié du CNRS.</t>
  </si>
  <si>
    <t xml:space="preserve">Enseignant ayant des activités de recherche (publications) mais ne rentrant dans aucune des autres catégories de cette liste.</t>
  </si>
  <si>
    <t xml:space="preserve">Enseignants externes effectuant une activité d'enseignement</t>
  </si>
  <si>
    <t xml:space="preserve">Professeur Agrégé. Enseignant ayant une agrégation et effectuant son statut dans le supérieur (Pas d'activité de recherche).</t>
  </si>
  <si>
    <t xml:space="preserve">Etudiant en cours de réalisation d'une thèse de doctorat.</t>
  </si>
  <si>
    <t xml:space="preserve">Enseignant ayant une agrégation et un statut d'enseignant titulaire dans le secondaire.</t>
  </si>
  <si>
    <t xml:space="preserve">Enseignant ayant un CAPES (ou CAPET) et un statut d'enseignant titulaire dans le secondaire.</t>
  </si>
  <si>
    <t xml:space="preserve">Enseignant dans le public sous un statut temporaire (contrat annuel en général).</t>
  </si>
  <si>
    <t xml:space="preserve">Etudiant autre que doctorant.</t>
  </si>
  <si>
    <t xml:space="preserve">Enseignant n'effectuant aucune activité de recherche et n'entrant dans aucune des autres catégories.</t>
  </si>
  <si>
    <t xml:space="preserve">E1</t>
  </si>
  <si>
    <t xml:space="preserve">Vacataire académique</t>
  </si>
  <si>
    <t xml:space="preserve">Formateur indépendant</t>
  </si>
  <si>
    <t xml:space="preserve">Enseignant (statut 1) ayant, en dehors du cesi, qu'une activité d'enseignement (pas de conseil).</t>
  </si>
  <si>
    <t xml:space="preserve">Vacataire industriel</t>
  </si>
  <si>
    <t xml:space="preserve">Enseignant salarié d’une entreprise.</t>
  </si>
  <si>
    <t xml:space="preserve">Enseignant (statut 1) effectuant des activités de conseil et de formation dans les entreprises.</t>
  </si>
  <si>
    <t xml:space="preserve">Vacataire langue</t>
  </si>
  <si>
    <t xml:space="preserve">Enseignant pour les langues</t>
  </si>
  <si>
    <t xml:space="preserve">Une convention a-t-elle été signée entre CESI et votre université / école de rattachement ?</t>
  </si>
  <si>
    <t xml:space="preserve">Vous exercez une activité de:</t>
  </si>
  <si>
    <t xml:space="preserve">Vous êtes:</t>
  </si>
  <si>
    <t xml:space="preserve">Rattachement:</t>
  </si>
  <si>
    <t xml:space="preserve">Etablissement académique:</t>
  </si>
  <si>
    <t xml:space="preserve">Laboratoire:</t>
  </si>
  <si>
    <t xml:space="preserve">Activité principale:</t>
  </si>
  <si>
    <t xml:space="preserve">Cycles ingénieurs / MS / Cycles préparatoires / BAC + 5 (Niveau 7)</t>
  </si>
  <si>
    <t xml:space="preserve">BAC + 3 (Niveau 6 spécifique CESI ESA/EFM)</t>
  </si>
  <si>
    <t xml:space="preserve">BAC + 2 (Niveau 5 spécifique CESI ESA/EFM)</t>
  </si>
  <si>
    <t xml:space="preserve">Nom et visa de l'IF / EF / EC qui a agréé:</t>
  </si>
  <si>
    <t xml:space="preserve">Dossier validé par le DR ou RD par délégation des Directeurs des Ecoles:</t>
  </si>
  <si>
    <t xml:space="preserve">Cycles ingénieurs / MS / Cycles préparatoires (niveau 7)</t>
  </si>
  <si>
    <t xml:space="preserve">Nom et visa de l'EF / EC qui a agréé:</t>
  </si>
  <si>
    <t xml:space="preserve">Dossier validé par le DR ou RD par délégation du directeur CESI Ecole d'ingénieurs:</t>
  </si>
  <si>
    <t xml:space="preserve">Niveau 7 (BAC + 5)</t>
  </si>
  <si>
    <t xml:space="preserve">Niveau 6 (BAC + 3)</t>
  </si>
  <si>
    <t xml:space="preserve">Niveau 5 (BAC + 2)</t>
  </si>
  <si>
    <t xml:space="preserve">Nom et visa de l'IF pilote qui a agréé:</t>
  </si>
  <si>
    <t xml:space="preserve">Dossier validé par le DR ou RD par délégation du directeur de CESI ESA/ EFM</t>
  </si>
  <si>
    <t xml:space="preserve">Niveau 7 </t>
  </si>
  <si>
    <t xml:space="preserve">Niveau 6</t>
  </si>
  <si>
    <t xml:space="preserve">Niveau 5</t>
  </si>
  <si>
    <t xml:space="preserve">Cycles ingénieurs / MS / Cycles préparatoires (niveau 1)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</si>
</sst>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D/MM/YY"/>
    <numFmt numFmtId="166" formatCode="0.00"/>
    <numFmt numFmtId="167" formatCode="@"/>
  </numFmts>
  <fonts count="4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b val="true"/>
      <sz val="18"/>
      <name val="Calibri"/>
      <family val="2"/>
      <charset val="1"/>
    </font>
    <font>
      <b val="true"/>
      <sz val="16"/>
      <color rgb="FF78613C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b val="true"/>
      <sz val="16"/>
      <color rgb="FFFFC845"/>
      <name val="Calibri"/>
      <family val="2"/>
      <charset val="1"/>
    </font>
    <font>
      <b val="true"/>
      <sz val="11"/>
      <name val="Calibri"/>
      <family val="2"/>
      <charset val="1"/>
    </font>
    <font>
      <sz val="11"/>
      <name val="Calibri"/>
      <family val="2"/>
      <charset val="1"/>
    </font>
    <font>
      <sz val="10"/>
      <color rgb="FF7F7F7F"/>
      <name val="Calibri"/>
      <family val="2"/>
      <charset val="1"/>
    </font>
    <font>
      <b val="true"/>
      <sz val="11"/>
      <color rgb="FF984807"/>
      <name val="Calibri"/>
      <family val="2"/>
      <charset val="1"/>
    </font>
    <font>
      <i val="true"/>
      <sz val="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rgb="FF4C3524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i val="true"/>
      <sz val="10"/>
      <color rgb="FFFF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i val="true"/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7"/>
      <color rgb="FF000000"/>
      <name val="Calibri Light"/>
      <family val="2"/>
      <charset val="1"/>
    </font>
    <font>
      <sz val="10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u val="single"/>
      <sz val="12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8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9"/>
      <name val="Calibri"/>
      <family val="2"/>
      <charset val="1"/>
    </font>
    <font>
      <b val="true"/>
      <u val="single"/>
      <sz val="11"/>
      <color rgb="FF000000"/>
      <name val="Calibri"/>
      <family val="2"/>
      <charset val="1"/>
    </font>
    <font>
      <sz val="11"/>
      <color rgb="FF000000"/>
      <name val="Calibri"/>
      <family val="0"/>
    </font>
    <font>
      <b val="true"/>
      <u val="single"/>
      <sz val="11"/>
      <color rgb="FFFF0000"/>
      <name val="Calibri"/>
      <family val="0"/>
    </font>
    <font>
      <sz val="11"/>
      <name val="Times New Roman"/>
      <family val="0"/>
    </font>
    <font>
      <b val="true"/>
      <sz val="11"/>
      <color rgb="FFFF0000"/>
      <name val="Calibri"/>
      <family val="0"/>
    </font>
    <font>
      <sz val="11"/>
      <color rgb="FF000000"/>
      <name val="Times New Roman"/>
      <family val="1"/>
      <charset val="1"/>
    </font>
    <font>
      <sz val="12"/>
      <color rgb="FF000000"/>
      <name val="Times New Roman"/>
      <family val="1"/>
      <charset val="1"/>
    </font>
    <font>
      <sz val="10"/>
      <color rgb="FF000000"/>
      <name val="Times New Roman"/>
      <family val="1"/>
      <charset val="1"/>
    </font>
  </fonts>
  <fills count="7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FFFFFF"/>
        <bgColor rgb="FFF2F2F2"/>
      </patternFill>
    </fill>
    <fill>
      <patternFill patternType="solid">
        <fgColor rgb="FFD9D9D9"/>
        <b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BEBEBE"/>
        <bgColor rgb="FFD9D9D9"/>
      </patternFill>
    </fill>
  </fills>
  <borders count="43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/>
      <top style="thin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31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0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0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3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6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3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7" fillId="3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0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6" fontId="0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3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2" fillId="0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3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right" vertical="bottom" textRotation="0" wrapText="true" indent="0" shrinkToFit="false"/>
      <protection locked="true" hidden="false"/>
    </xf>
    <xf numFmtId="164" fontId="0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7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0" fillId="0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0" fillId="0" borderId="6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0" fillId="3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9" fillId="3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5" fillId="3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6" fillId="3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3" borderId="1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7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5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8" fillId="5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5" fillId="0" borderId="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2" fillId="0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2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7" fillId="0" borderId="25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33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2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2" fillId="0" borderId="2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2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7" fillId="0" borderId="2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2" fillId="0" borderId="2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2" fillId="0" borderId="1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4" fillId="3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3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3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3" borderId="1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2" fillId="5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7" fillId="0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7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7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7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3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2" fillId="0" borderId="8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2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3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2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6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2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2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2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2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37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3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38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39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0" fillId="0" borderId="38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5" borderId="4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5" borderId="42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7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2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3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1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2" fillId="0" borderId="1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0" fillId="0" borderId="17" xfId="0" applyFont="true" applyBorder="true" applyAlignment="true" applyProtection="false">
      <alignment horizontal="general" vertical="bottom" textRotation="0" wrapText="tru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dxfs count="5">
    <dxf>
      <font>
        <name val="Calibri"/>
        <charset val="1"/>
        <family val="2"/>
        <color rgb="FF000000"/>
      </font>
    </dxf>
    <dxf>
      <font>
        <name val="Calibri"/>
        <charset val="1"/>
        <family val="2"/>
        <color rgb="FF000000"/>
      </font>
    </dxf>
    <dxf>
      <font>
        <name val="Calibri"/>
        <charset val="1"/>
        <family val="2"/>
        <color rgb="FF000000"/>
      </font>
    </dxf>
    <dxf>
      <font>
        <name val="Calibri"/>
        <charset val="1"/>
        <family val="2"/>
        <color rgb="FF000000"/>
      </font>
    </dxf>
    <dxf>
      <font>
        <name val="Calibri"/>
        <charset val="1"/>
        <family val="2"/>
        <b val="0"/>
        <i val="0"/>
        <strike val="0"/>
        <outline val="0"/>
        <shadow val="0"/>
        <color rgb="FF0000FF"/>
        <u val="single"/>
      </font>
      <numFmt numFmtId="164" formatCode="General"/>
      <fill>
        <patternFill>
          <bgColor rgb="FFFFFFFF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8613C"/>
      <rgbColor rgb="FF800080"/>
      <rgbColor rgb="FF008080"/>
      <rgbColor rgb="FFBEBEBE"/>
      <rgbColor rgb="FF7F7F7F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845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84807"/>
      <rgbColor rgb="FF993366"/>
      <rgbColor rgb="FF333399"/>
      <rgbColor rgb="FF4C352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33.jpeg"/><Relationship Id="rId2" Type="http://schemas.openxmlformats.org/officeDocument/2006/relationships/image" Target="../media/image34.jpeg"/><Relationship Id="rId3" Type="http://schemas.openxmlformats.org/officeDocument/2006/relationships/image" Target="../media/image35.jpeg"/><Relationship Id="rId4" Type="http://schemas.openxmlformats.org/officeDocument/2006/relationships/image" Target="../media/image36.jpeg"/><Relationship Id="rId5" Type="http://schemas.openxmlformats.org/officeDocument/2006/relationships/image" Target="../media/image37.jpeg"/><Relationship Id="rId6" Type="http://schemas.openxmlformats.org/officeDocument/2006/relationships/image" Target="../media/image38.jpeg"/><Relationship Id="rId7" Type="http://schemas.openxmlformats.org/officeDocument/2006/relationships/image" Target="../media/image39.png"/><Relationship Id="rId8" Type="http://schemas.openxmlformats.org/officeDocument/2006/relationships/image" Target="../media/image40.png"/><Relationship Id="rId9" Type="http://schemas.openxmlformats.org/officeDocument/2006/relationships/image" Target="../media/image41.wmf"/><Relationship Id="rId10" Type="http://schemas.openxmlformats.org/officeDocument/2006/relationships/image" Target="../media/image42.wmf"/><Relationship Id="rId11" Type="http://schemas.openxmlformats.org/officeDocument/2006/relationships/image" Target="../media/image43.wmf"/><Relationship Id="rId12" Type="http://schemas.openxmlformats.org/officeDocument/2006/relationships/image" Target="../media/image44.wmf"/><Relationship Id="rId13" Type="http://schemas.openxmlformats.org/officeDocument/2006/relationships/image" Target="../media/image45.wmf"/><Relationship Id="rId14" Type="http://schemas.openxmlformats.org/officeDocument/2006/relationships/image" Target="../media/image46.wmf"/><Relationship Id="rId15" Type="http://schemas.openxmlformats.org/officeDocument/2006/relationships/image" Target="../media/image47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48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395280</xdr:colOff>
      <xdr:row>7</xdr:row>
      <xdr:rowOff>338760</xdr:rowOff>
    </xdr:from>
    <xdr:to>
      <xdr:col>5</xdr:col>
      <xdr:colOff>718200</xdr:colOff>
      <xdr:row>14</xdr:row>
      <xdr:rowOff>263160</xdr:rowOff>
    </xdr:to>
    <xdr:sp>
      <xdr:nvSpPr>
        <xdr:cNvPr id="0" name="CustomShape 1"/>
        <xdr:cNvSpPr/>
      </xdr:nvSpPr>
      <xdr:spPr>
        <a:xfrm>
          <a:off x="7439040" y="1620720"/>
          <a:ext cx="1478880" cy="1507320"/>
        </a:xfrm>
        <a:prstGeom prst="roundRect">
          <a:avLst>
            <a:gd name="adj" fmla="val 16667"/>
          </a:avLst>
        </a:prstGeom>
        <a:noFill/>
        <a:ln>
          <a:solidFill>
            <a:srgbClr val="ffffff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lIns="90000" rIns="90000" tIns="45000" bIns="45000"/>
        <a:p>
          <a:pPr algn="ctr">
            <a:lnSpc>
              <a:spcPct val="100000"/>
            </a:lnSpc>
          </a:pPr>
          <a:r>
            <a:rPr b="0" lang="fr-FR" sz="1100" spc="-1" strike="noStrike">
              <a:solidFill>
                <a:srgbClr val="000000"/>
              </a:solidFill>
              <a:latin typeface="Calibri"/>
            </a:rPr>
            <a:t>Insérer une photo</a:t>
          </a:r>
          <a:endParaRPr b="0" lang="fr-F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1</xdr:col>
      <xdr:colOff>102600</xdr:colOff>
      <xdr:row>128</xdr:row>
      <xdr:rowOff>121320</xdr:rowOff>
    </xdr:from>
    <xdr:to>
      <xdr:col>2</xdr:col>
      <xdr:colOff>320400</xdr:colOff>
      <xdr:row>134</xdr:row>
      <xdr:rowOff>142560</xdr:rowOff>
    </xdr:to>
    <xdr:pic>
      <xdr:nvPicPr>
        <xdr:cNvPr id="1" name="Image 39" descr=""/>
        <xdr:cNvPicPr/>
      </xdr:nvPicPr>
      <xdr:blipFill>
        <a:blip r:embed="rId1"/>
        <a:stretch/>
      </xdr:blipFill>
      <xdr:spPr>
        <a:xfrm>
          <a:off x="2117880" y="38249640"/>
          <a:ext cx="1403280" cy="1118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271800</xdr:colOff>
      <xdr:row>128</xdr:row>
      <xdr:rowOff>112680</xdr:rowOff>
    </xdr:from>
    <xdr:to>
      <xdr:col>0</xdr:col>
      <xdr:colOff>1384200</xdr:colOff>
      <xdr:row>134</xdr:row>
      <xdr:rowOff>145800</xdr:rowOff>
    </xdr:to>
    <xdr:pic>
      <xdr:nvPicPr>
        <xdr:cNvPr id="2" name="Image 6" descr=""/>
        <xdr:cNvPicPr/>
      </xdr:nvPicPr>
      <xdr:blipFill>
        <a:blip r:embed="rId2"/>
        <a:stretch/>
      </xdr:blipFill>
      <xdr:spPr>
        <a:xfrm>
          <a:off x="271800" y="38241000"/>
          <a:ext cx="1112400" cy="11304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122760</xdr:colOff>
      <xdr:row>1</xdr:row>
      <xdr:rowOff>78480</xdr:rowOff>
    </xdr:from>
    <xdr:to>
      <xdr:col>1</xdr:col>
      <xdr:colOff>616680</xdr:colOff>
      <xdr:row>4</xdr:row>
      <xdr:rowOff>62280</xdr:rowOff>
    </xdr:to>
    <xdr:pic>
      <xdr:nvPicPr>
        <xdr:cNvPr id="3" name="Image 2" descr=""/>
        <xdr:cNvPicPr/>
      </xdr:nvPicPr>
      <xdr:blipFill>
        <a:blip r:embed="rId3"/>
        <a:stretch/>
      </xdr:blipFill>
      <xdr:spPr>
        <a:xfrm>
          <a:off x="122760" y="278280"/>
          <a:ext cx="2509200" cy="5745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152280</xdr:colOff>
      <xdr:row>104</xdr:row>
      <xdr:rowOff>181080</xdr:rowOff>
    </xdr:from>
    <xdr:to>
      <xdr:col>1</xdr:col>
      <xdr:colOff>259920</xdr:colOff>
      <xdr:row>104</xdr:row>
      <xdr:rowOff>644040</xdr:rowOff>
    </xdr:to>
    <xdr:pic>
      <xdr:nvPicPr>
        <xdr:cNvPr id="4" name="Image 40" descr=""/>
        <xdr:cNvPicPr/>
      </xdr:nvPicPr>
      <xdr:blipFill>
        <a:blip r:embed="rId4"/>
        <a:stretch/>
      </xdr:blipFill>
      <xdr:spPr>
        <a:xfrm>
          <a:off x="152280" y="27309960"/>
          <a:ext cx="2122920" cy="4629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104040</xdr:colOff>
      <xdr:row>104</xdr:row>
      <xdr:rowOff>409680</xdr:rowOff>
    </xdr:from>
    <xdr:to>
      <xdr:col>11</xdr:col>
      <xdr:colOff>198000</xdr:colOff>
      <xdr:row>107</xdr:row>
      <xdr:rowOff>446400</xdr:rowOff>
    </xdr:to>
    <xdr:sp>
      <xdr:nvSpPr>
        <xdr:cNvPr id="5" name="CustomShape 1"/>
        <xdr:cNvSpPr/>
      </xdr:nvSpPr>
      <xdr:spPr>
        <a:xfrm>
          <a:off x="10811880" y="27538560"/>
          <a:ext cx="3254400" cy="1541880"/>
        </a:xfrm>
        <a:prstGeom prst="wedgeRoundRectCallout">
          <a:avLst>
            <a:gd name="adj1" fmla="val -58104"/>
            <a:gd name="adj2" fmla="val 67589"/>
            <a:gd name="adj3" fmla="val 16667"/>
          </a:avLst>
        </a:prstGeom>
        <a:solidFill>
          <a:srgbClr val="ffffff"/>
        </a:solidFill>
        <a:ln>
          <a:solidFill>
            <a:srgbClr val="4c35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/>
        <a:p>
          <a:pPr algn="ctr">
            <a:lnSpc>
              <a:spcPct val="100000"/>
            </a:lnSpc>
          </a:pPr>
          <a:r>
            <a:rPr b="1" lang="fr-FR" sz="1100" spc="-1" strike="noStrike" u="sng">
              <a:solidFill>
                <a:srgbClr val="ff0000"/>
              </a:solidFill>
              <a:uFillTx/>
              <a:latin typeface="Calibri"/>
            </a:rPr>
            <a:t>EXTENSIONS D'AGREMENTS:</a:t>
          </a:r>
          <a:endParaRPr b="0" lang="fr-FR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fr-FR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fr-FR" sz="1100" spc="-1" strike="noStrike">
              <a:solidFill>
                <a:srgbClr val="ff0000"/>
              </a:solidFill>
              <a:latin typeface="Calibri"/>
            </a:rPr>
            <a:t>Saisir le </a:t>
          </a:r>
          <a:r>
            <a:rPr b="1" lang="fr-FR" sz="1100" spc="-1" strike="noStrike" u="sng">
              <a:solidFill>
                <a:srgbClr val="ff0000"/>
              </a:solidFill>
              <a:uFillTx/>
              <a:latin typeface="Calibri"/>
            </a:rPr>
            <a:t>nom et le prénom </a:t>
          </a:r>
          <a:r>
            <a:rPr b="1" lang="fr-FR" sz="1100" spc="-1" strike="noStrike">
              <a:solidFill>
                <a:srgbClr val="ff0000"/>
              </a:solidFill>
              <a:latin typeface="Calibri"/>
            </a:rPr>
            <a:t>du formateur ainsi que </a:t>
          </a:r>
          <a:r>
            <a:rPr b="1" lang="fr-FR" sz="1100" spc="-1" strike="noStrike" u="sng">
              <a:solidFill>
                <a:srgbClr val="ff0000"/>
              </a:solidFill>
              <a:uFillTx/>
              <a:latin typeface="Calibri"/>
            </a:rPr>
            <a:t>l'/les Ecole(s) </a:t>
          </a:r>
          <a:r>
            <a:rPr b="1" lang="fr-FR" sz="1100" spc="-1" strike="noStrike">
              <a:solidFill>
                <a:srgbClr val="ff0000"/>
              </a:solidFill>
              <a:latin typeface="Calibri"/>
            </a:rPr>
            <a:t>concernée(s) sur la 1ère page du dossier qui seront automatiquement repris sur la fiche d'agrément.</a:t>
          </a:r>
          <a:endParaRPr b="0" lang="fr-F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5</xdr:col>
      <xdr:colOff>329040</xdr:colOff>
      <xdr:row>128</xdr:row>
      <xdr:rowOff>97560</xdr:rowOff>
    </xdr:from>
    <xdr:to>
      <xdr:col>6</xdr:col>
      <xdr:colOff>656640</xdr:colOff>
      <xdr:row>134</xdr:row>
      <xdr:rowOff>183240</xdr:rowOff>
    </xdr:to>
    <xdr:pic>
      <xdr:nvPicPr>
        <xdr:cNvPr id="6" name="Image 5" descr=""/>
        <xdr:cNvPicPr/>
      </xdr:nvPicPr>
      <xdr:blipFill>
        <a:blip r:embed="rId5"/>
        <a:stretch/>
      </xdr:blipFill>
      <xdr:spPr>
        <a:xfrm>
          <a:off x="8528760" y="38225880"/>
          <a:ext cx="1483200" cy="11829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34560</xdr:colOff>
      <xdr:row>125</xdr:row>
      <xdr:rowOff>207720</xdr:rowOff>
    </xdr:from>
    <xdr:to>
      <xdr:col>11</xdr:col>
      <xdr:colOff>232200</xdr:colOff>
      <xdr:row>127</xdr:row>
      <xdr:rowOff>284040</xdr:rowOff>
    </xdr:to>
    <xdr:sp>
      <xdr:nvSpPr>
        <xdr:cNvPr id="7" name="CustomShape 1"/>
        <xdr:cNvSpPr/>
      </xdr:nvSpPr>
      <xdr:spPr>
        <a:xfrm>
          <a:off x="10742400" y="36764640"/>
          <a:ext cx="3358080" cy="1257120"/>
        </a:xfrm>
        <a:prstGeom prst="wedgeRoundRectCallout">
          <a:avLst>
            <a:gd name="adj1" fmla="val -56084"/>
            <a:gd name="adj2" fmla="val 77023"/>
            <a:gd name="adj3" fmla="val 16667"/>
          </a:avLst>
        </a:prstGeom>
        <a:solidFill>
          <a:srgbClr val="ffffff"/>
        </a:solidFill>
        <a:ln>
          <a:solidFill>
            <a:srgbClr val="4c352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/>
        <a:p>
          <a:pPr algn="ctr">
            <a:lnSpc>
              <a:spcPct val="100000"/>
            </a:lnSpc>
          </a:pPr>
          <a:r>
            <a:rPr b="1" lang="fr-FR" sz="1100" spc="-1" strike="noStrike" u="sng">
              <a:solidFill>
                <a:srgbClr val="ff0000"/>
              </a:solidFill>
              <a:uFillTx/>
              <a:latin typeface="Calibri"/>
            </a:rPr>
            <a:t>EXTENSIONS D'AGREMENTS:</a:t>
          </a:r>
          <a:endParaRPr b="0" lang="fr-FR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endParaRPr b="0" lang="fr-FR" sz="1100" spc="-1" strike="noStrike">
            <a:latin typeface="Times New Roman"/>
          </a:endParaRPr>
        </a:p>
        <a:p>
          <a:pPr algn="ctr">
            <a:lnSpc>
              <a:spcPct val="100000"/>
            </a:lnSpc>
          </a:pPr>
          <a:r>
            <a:rPr b="1" lang="fr-FR" sz="1100" spc="-1" strike="noStrike">
              <a:solidFill>
                <a:srgbClr val="ff0000"/>
              </a:solidFill>
              <a:latin typeface="Calibri"/>
            </a:rPr>
            <a:t>Lorsque la fiche est complète, appuyez sur le bouton "FICHE D'EXTENSION D'AGREMENT" pour l'extraire en format PDF</a:t>
          </a:r>
          <a:endParaRPr b="0" lang="fr-FR" sz="1100" spc="-1" strike="noStrike">
            <a:latin typeface="Times New Roman"/>
          </a:endParaRPr>
        </a:p>
      </xdr:txBody>
    </xdr:sp>
    <xdr:clientData/>
  </xdr:twoCellAnchor>
  <xdr:twoCellAnchor editAs="oneCell">
    <xdr:from>
      <xdr:col>0</xdr:col>
      <xdr:colOff>143640</xdr:colOff>
      <xdr:row>104</xdr:row>
      <xdr:rowOff>181080</xdr:rowOff>
    </xdr:from>
    <xdr:to>
      <xdr:col>1</xdr:col>
      <xdr:colOff>251280</xdr:colOff>
      <xdr:row>104</xdr:row>
      <xdr:rowOff>644040</xdr:rowOff>
    </xdr:to>
    <xdr:pic>
      <xdr:nvPicPr>
        <xdr:cNvPr id="8" name="Image 42" descr=""/>
        <xdr:cNvPicPr/>
      </xdr:nvPicPr>
      <xdr:blipFill>
        <a:blip r:embed="rId6"/>
        <a:stretch/>
      </xdr:blipFill>
      <xdr:spPr>
        <a:xfrm>
          <a:off x="143640" y="27309960"/>
          <a:ext cx="2122920" cy="4629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25920</xdr:colOff>
      <xdr:row>61</xdr:row>
      <xdr:rowOff>0</xdr:rowOff>
    </xdr:from>
    <xdr:to>
      <xdr:col>3</xdr:col>
      <xdr:colOff>608760</xdr:colOff>
      <xdr:row>63</xdr:row>
      <xdr:rowOff>1106280</xdr:rowOff>
    </xdr:to>
    <xdr:pic>
      <xdr:nvPicPr>
        <xdr:cNvPr id="9" name="Image 4" descr=""/>
        <xdr:cNvPicPr/>
      </xdr:nvPicPr>
      <xdr:blipFill>
        <a:blip r:embed="rId7"/>
        <a:stretch/>
      </xdr:blipFill>
      <xdr:spPr>
        <a:xfrm>
          <a:off x="25920" y="11427840"/>
          <a:ext cx="5571720" cy="25635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617040</xdr:colOff>
      <xdr:row>61</xdr:row>
      <xdr:rowOff>7560</xdr:rowOff>
    </xdr:from>
    <xdr:to>
      <xdr:col>6</xdr:col>
      <xdr:colOff>826920</xdr:colOff>
      <xdr:row>63</xdr:row>
      <xdr:rowOff>242280</xdr:rowOff>
    </xdr:to>
    <xdr:pic>
      <xdr:nvPicPr>
        <xdr:cNvPr id="10" name="Image 7" descr=""/>
        <xdr:cNvPicPr/>
      </xdr:nvPicPr>
      <xdr:blipFill>
        <a:blip r:embed="rId8"/>
        <a:stretch/>
      </xdr:blipFill>
      <xdr:spPr>
        <a:xfrm>
          <a:off x="5605920" y="11435400"/>
          <a:ext cx="4576320" cy="16920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23</xdr:col>
      <xdr:colOff>45720</xdr:colOff>
      <xdr:row>16</xdr:row>
      <xdr:rowOff>76320</xdr:rowOff>
    </xdr:from>
    <xdr:to>
      <xdr:col>24</xdr:col>
      <xdr:colOff>174240</xdr:colOff>
      <xdr:row>20</xdr:row>
      <xdr:rowOff>60120</xdr:rowOff>
    </xdr:to>
    <xdr:pic>
      <xdr:nvPicPr>
        <xdr:cNvPr id="11" name="Picture 761" descr=""/>
        <xdr:cNvPicPr/>
      </xdr:nvPicPr>
      <xdr:blipFill>
        <a:blip r:embed="rId9"/>
        <a:stretch/>
      </xdr:blipFill>
      <xdr:spPr>
        <a:xfrm>
          <a:off x="26121240" y="3484080"/>
          <a:ext cx="1145880" cy="7002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22</xdr:col>
      <xdr:colOff>175320</xdr:colOff>
      <xdr:row>20</xdr:row>
      <xdr:rowOff>198000</xdr:rowOff>
    </xdr:from>
    <xdr:to>
      <xdr:col>23</xdr:col>
      <xdr:colOff>303840</xdr:colOff>
      <xdr:row>24</xdr:row>
      <xdr:rowOff>181800</xdr:rowOff>
    </xdr:to>
    <xdr:pic>
      <xdr:nvPicPr>
        <xdr:cNvPr id="12" name="Picture 762" descr=""/>
        <xdr:cNvPicPr/>
      </xdr:nvPicPr>
      <xdr:blipFill>
        <a:blip r:embed="rId10"/>
        <a:stretch/>
      </xdr:blipFill>
      <xdr:spPr>
        <a:xfrm>
          <a:off x="25233480" y="4322160"/>
          <a:ext cx="1145880" cy="7002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22</xdr:col>
      <xdr:colOff>198000</xdr:colOff>
      <xdr:row>26</xdr:row>
      <xdr:rowOff>30600</xdr:rowOff>
    </xdr:from>
    <xdr:to>
      <xdr:col>23</xdr:col>
      <xdr:colOff>326520</xdr:colOff>
      <xdr:row>28</xdr:row>
      <xdr:rowOff>342000</xdr:rowOff>
    </xdr:to>
    <xdr:pic>
      <xdr:nvPicPr>
        <xdr:cNvPr id="13" name="Picture 763" descr=""/>
        <xdr:cNvPicPr/>
      </xdr:nvPicPr>
      <xdr:blipFill>
        <a:blip r:embed="rId11"/>
        <a:stretch/>
      </xdr:blipFill>
      <xdr:spPr>
        <a:xfrm>
          <a:off x="25256160" y="5221440"/>
          <a:ext cx="1145880" cy="69048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20</xdr:col>
      <xdr:colOff>388800</xdr:colOff>
      <xdr:row>18</xdr:row>
      <xdr:rowOff>114480</xdr:rowOff>
    </xdr:from>
    <xdr:to>
      <xdr:col>21</xdr:col>
      <xdr:colOff>517320</xdr:colOff>
      <xdr:row>22</xdr:row>
      <xdr:rowOff>98280</xdr:rowOff>
    </xdr:to>
    <xdr:pic>
      <xdr:nvPicPr>
        <xdr:cNvPr id="14" name="Picture 766" descr=""/>
        <xdr:cNvPicPr/>
      </xdr:nvPicPr>
      <xdr:blipFill>
        <a:blip r:embed="rId12"/>
        <a:stretch/>
      </xdr:blipFill>
      <xdr:spPr>
        <a:xfrm>
          <a:off x="23412600" y="3880440"/>
          <a:ext cx="1145520" cy="70020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20</xdr:col>
      <xdr:colOff>388800</xdr:colOff>
      <xdr:row>24</xdr:row>
      <xdr:rowOff>152280</xdr:rowOff>
    </xdr:from>
    <xdr:to>
      <xdr:col>21</xdr:col>
      <xdr:colOff>517320</xdr:colOff>
      <xdr:row>28</xdr:row>
      <xdr:rowOff>120600</xdr:rowOff>
    </xdr:to>
    <xdr:pic>
      <xdr:nvPicPr>
        <xdr:cNvPr id="15" name="Picture 767" descr=""/>
        <xdr:cNvPicPr/>
      </xdr:nvPicPr>
      <xdr:blipFill>
        <a:blip r:embed="rId13"/>
        <a:stretch/>
      </xdr:blipFill>
      <xdr:spPr>
        <a:xfrm>
          <a:off x="23412600" y="4992840"/>
          <a:ext cx="1145520" cy="69768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20</xdr:col>
      <xdr:colOff>388800</xdr:colOff>
      <xdr:row>28</xdr:row>
      <xdr:rowOff>457200</xdr:rowOff>
    </xdr:from>
    <xdr:to>
      <xdr:col>21</xdr:col>
      <xdr:colOff>517320</xdr:colOff>
      <xdr:row>32</xdr:row>
      <xdr:rowOff>113040</xdr:rowOff>
    </xdr:to>
    <xdr:pic>
      <xdr:nvPicPr>
        <xdr:cNvPr id="16" name="Picture 768" descr=""/>
        <xdr:cNvPicPr/>
      </xdr:nvPicPr>
      <xdr:blipFill>
        <a:blip r:embed="rId14"/>
        <a:stretch/>
      </xdr:blipFill>
      <xdr:spPr>
        <a:xfrm>
          <a:off x="23412600" y="6027120"/>
          <a:ext cx="1145520" cy="6847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518400</xdr:colOff>
      <xdr:row>7</xdr:row>
      <xdr:rowOff>247680</xdr:rowOff>
    </xdr:from>
    <xdr:to>
      <xdr:col>5</xdr:col>
      <xdr:colOff>901080</xdr:colOff>
      <xdr:row>14</xdr:row>
      <xdr:rowOff>367920</xdr:rowOff>
    </xdr:to>
    <xdr:pic>
      <xdr:nvPicPr>
        <xdr:cNvPr id="17" name="Image 1" descr=""/>
        <xdr:cNvPicPr/>
      </xdr:nvPicPr>
      <xdr:blipFill>
        <a:blip r:embed="rId15"/>
        <a:stretch/>
      </xdr:blipFill>
      <xdr:spPr>
        <a:xfrm>
          <a:off x="7562160" y="1529640"/>
          <a:ext cx="1538640" cy="17031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303120</xdr:colOff>
      <xdr:row>0</xdr:row>
      <xdr:rowOff>129960</xdr:rowOff>
    </xdr:from>
    <xdr:to>
      <xdr:col>1</xdr:col>
      <xdr:colOff>526680</xdr:colOff>
      <xdr:row>0</xdr:row>
      <xdr:rowOff>616320</xdr:rowOff>
    </xdr:to>
    <xdr:pic>
      <xdr:nvPicPr>
        <xdr:cNvPr id="18" name="Image 2" descr=""/>
        <xdr:cNvPicPr/>
      </xdr:nvPicPr>
      <xdr:blipFill>
        <a:blip r:embed="rId1"/>
        <a:stretch/>
      </xdr:blipFill>
      <xdr:spPr>
        <a:xfrm>
          <a:off x="303120" y="129960"/>
          <a:ext cx="1586880" cy="48636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pierluigimigliano@gmail.com" TargetMode="External"/><Relationship Id="rId2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T128"/>
  <sheetViews>
    <sheetView showFormulas="false" showGridLines="false" showRowColHeaders="true" showZeros="false" rightToLeft="false" tabSelected="true" showOutlineSymbols="true" defaultGridColor="true" view="pageBreakPreview" topLeftCell="A77" colorId="64" zoomScale="100" zoomScaleNormal="100" zoomScalePageLayoutView="100" workbookViewId="0">
      <selection pane="topLeft" activeCell="D92" activeCellId="0" sqref="D92"/>
    </sheetView>
  </sheetViews>
  <sheetFormatPr defaultRowHeight="14.4" zeroHeight="false" outlineLevelRow="0" outlineLevelCol="1"/>
  <cols>
    <col collapsed="false" customWidth="true" hidden="false" outlineLevel="0" max="1" min="1" style="1" width="22.67"/>
    <col collapsed="false" customWidth="true" hidden="false" outlineLevel="0" max="2" min="2" style="1" width="13.33"/>
    <col collapsed="false" customWidth="true" hidden="false" outlineLevel="0" max="3" min="3" style="1" width="20.11"/>
    <col collapsed="false" customWidth="true" hidden="false" outlineLevel="0" max="4" min="4" style="1" width="23.11"/>
    <col collapsed="false" customWidth="true" hidden="false" outlineLevel="0" max="6" min="5" style="1" width="13"/>
    <col collapsed="false" customWidth="true" hidden="false" outlineLevel="0" max="7" min="7" style="1" width="12.66"/>
    <col collapsed="false" customWidth="true" hidden="false" outlineLevel="0" max="8" min="8" style="1" width="2.55"/>
    <col collapsed="false" customWidth="true" hidden="false" outlineLevel="1" max="9" min="9" style="1" width="12.66"/>
    <col collapsed="false" customWidth="false" hidden="false" outlineLevel="1" max="11" min="10" style="1" width="11.44"/>
    <col collapsed="false" customWidth="false" hidden="false" outlineLevel="0" max="1025" min="12" style="1" width="11.44"/>
  </cols>
  <sheetData>
    <row r="1" customFormat="false" ht="15.75" hidden="false" customHeight="true" outlineLevel="0" collapsed="false">
      <c r="A1" s="2"/>
      <c r="B1" s="3"/>
      <c r="C1" s="4"/>
      <c r="D1" s="5"/>
      <c r="E1" s="5"/>
      <c r="F1" s="6"/>
      <c r="G1" s="7"/>
      <c r="H1" s="8"/>
      <c r="I1" s="9"/>
    </row>
    <row r="2" customFormat="false" ht="14.25" hidden="false" customHeight="true" outlineLevel="0" collapsed="false">
      <c r="A2" s="10"/>
      <c r="B2" s="11"/>
      <c r="C2" s="12"/>
      <c r="D2" s="13"/>
      <c r="E2" s="13"/>
      <c r="F2" s="9"/>
      <c r="G2" s="14"/>
      <c r="H2" s="9"/>
    </row>
    <row r="3" customFormat="false" ht="17.25" hidden="false" customHeight="true" outlineLevel="0" collapsed="false">
      <c r="A3" s="15" t="s">
        <v>0</v>
      </c>
      <c r="B3" s="15"/>
      <c r="C3" s="15"/>
      <c r="D3" s="15"/>
      <c r="E3" s="15"/>
      <c r="F3" s="15"/>
      <c r="G3" s="15"/>
      <c r="H3" s="16"/>
    </row>
    <row r="4" customFormat="false" ht="15" hidden="false" customHeight="true" outlineLevel="0" collapsed="false">
      <c r="A4" s="17"/>
      <c r="B4" s="9"/>
      <c r="C4" s="9"/>
      <c r="D4" s="18"/>
      <c r="E4" s="18"/>
      <c r="F4" s="18"/>
      <c r="G4" s="19"/>
      <c r="H4" s="16"/>
    </row>
    <row r="5" customFormat="false" ht="11.25" hidden="false" customHeight="true" outlineLevel="0" collapsed="false">
      <c r="A5" s="17"/>
      <c r="B5" s="9"/>
      <c r="C5" s="9"/>
      <c r="D5" s="9"/>
      <c r="E5" s="9"/>
      <c r="F5" s="9"/>
      <c r="G5" s="14"/>
    </row>
    <row r="6" customFormat="false" ht="11.25" hidden="false" customHeight="true" outlineLevel="0" collapsed="false">
      <c r="A6" s="17"/>
      <c r="B6" s="9"/>
      <c r="C6" s="9"/>
      <c r="D6" s="9"/>
      <c r="E6" s="9"/>
      <c r="F6" s="9"/>
      <c r="G6" s="14"/>
    </row>
    <row r="7" customFormat="false" ht="16.2" hidden="false" customHeight="false" outlineLevel="0" collapsed="false">
      <c r="A7" s="20" t="s">
        <v>1</v>
      </c>
      <c r="B7" s="20"/>
      <c r="C7" s="20"/>
      <c r="D7" s="20"/>
      <c r="E7" s="20"/>
      <c r="F7" s="20"/>
      <c r="G7" s="20"/>
    </row>
    <row r="8" customFormat="false" ht="27" hidden="false" customHeight="true" outlineLevel="0" collapsed="false">
      <c r="A8" s="21"/>
      <c r="B8" s="6"/>
      <c r="C8" s="6"/>
      <c r="D8" s="6"/>
      <c r="E8" s="6"/>
      <c r="F8" s="6"/>
      <c r="G8" s="7"/>
    </row>
    <row r="9" customFormat="false" ht="21" hidden="false" customHeight="false" outlineLevel="0" collapsed="false">
      <c r="A9" s="17"/>
      <c r="B9" s="9"/>
      <c r="C9" s="22" t="s">
        <v>2</v>
      </c>
      <c r="D9" s="23"/>
      <c r="E9" s="9"/>
      <c r="F9" s="24"/>
      <c r="G9" s="25"/>
      <c r="H9" s="26"/>
    </row>
    <row r="10" customFormat="false" ht="20.25" hidden="false" customHeight="true" outlineLevel="0" collapsed="false">
      <c r="A10" s="17"/>
      <c r="B10" s="9"/>
      <c r="C10" s="27" t="s">
        <v>3</v>
      </c>
      <c r="D10" s="9"/>
      <c r="E10" s="28"/>
      <c r="F10" s="29"/>
      <c r="G10" s="25"/>
      <c r="H10" s="26"/>
    </row>
    <row r="11" customFormat="false" ht="20.1" hidden="false" customHeight="true" outlineLevel="0" collapsed="false">
      <c r="A11" s="17"/>
      <c r="B11" s="30" t="s">
        <v>4</v>
      </c>
      <c r="C11" s="31" t="s">
        <v>5</v>
      </c>
      <c r="D11" s="31"/>
      <c r="E11" s="9"/>
      <c r="F11" s="32"/>
      <c r="G11" s="25"/>
      <c r="H11" s="26"/>
    </row>
    <row r="12" customFormat="false" ht="8.1" hidden="false" customHeight="true" outlineLevel="0" collapsed="false">
      <c r="A12" s="17"/>
      <c r="B12" s="33"/>
      <c r="C12" s="9"/>
      <c r="D12" s="28"/>
      <c r="E12" s="9"/>
      <c r="F12" s="28"/>
      <c r="G12" s="25"/>
      <c r="H12" s="26"/>
      <c r="K12" s="34"/>
    </row>
    <row r="13" customFormat="false" ht="20.1" hidden="false" customHeight="true" outlineLevel="0" collapsed="false">
      <c r="A13" s="17"/>
      <c r="B13" s="33" t="s">
        <v>6</v>
      </c>
      <c r="C13" s="31" t="s">
        <v>7</v>
      </c>
      <c r="D13" s="31"/>
      <c r="E13" s="9"/>
      <c r="F13" s="32"/>
      <c r="G13" s="25"/>
      <c r="H13" s="26"/>
    </row>
    <row r="14" customFormat="false" ht="8.1" hidden="false" customHeight="true" outlineLevel="0" collapsed="false">
      <c r="A14" s="17"/>
      <c r="B14" s="9"/>
      <c r="C14" s="33"/>
      <c r="D14" s="9"/>
      <c r="E14" s="9"/>
      <c r="F14" s="28"/>
      <c r="G14" s="25"/>
      <c r="H14" s="26"/>
    </row>
    <row r="15" customFormat="false" ht="34.5" hidden="false" customHeight="true" outlineLevel="0" collapsed="false">
      <c r="A15" s="17"/>
      <c r="B15" s="35" t="s">
        <v>8</v>
      </c>
      <c r="C15" s="36" t="s">
        <v>9</v>
      </c>
      <c r="D15" s="36"/>
      <c r="E15" s="9"/>
      <c r="F15" s="32"/>
      <c r="G15" s="25"/>
      <c r="H15" s="26"/>
    </row>
    <row r="16" customFormat="false" ht="8.25" hidden="false" customHeight="true" outlineLevel="0" collapsed="false">
      <c r="A16" s="17"/>
      <c r="B16" s="9"/>
      <c r="C16" s="9"/>
      <c r="D16" s="33"/>
      <c r="E16" s="32"/>
      <c r="F16" s="32"/>
      <c r="G16" s="25"/>
      <c r="H16" s="26"/>
    </row>
    <row r="17" customFormat="false" ht="20.1" hidden="false" customHeight="true" outlineLevel="0" collapsed="false">
      <c r="A17" s="17"/>
      <c r="B17" s="33" t="s">
        <v>10</v>
      </c>
      <c r="C17" s="31" t="n">
        <v>13006</v>
      </c>
      <c r="D17" s="33" t="s">
        <v>11</v>
      </c>
      <c r="E17" s="31" t="s">
        <v>12</v>
      </c>
      <c r="F17" s="31"/>
      <c r="G17" s="25"/>
      <c r="H17" s="26"/>
    </row>
    <row r="18" customFormat="false" ht="8.1" hidden="false" customHeight="true" outlineLevel="0" collapsed="false">
      <c r="A18" s="17"/>
      <c r="B18" s="9"/>
      <c r="C18" s="33"/>
      <c r="D18" s="9"/>
      <c r="E18" s="9"/>
      <c r="F18" s="26"/>
      <c r="G18" s="25"/>
      <c r="H18" s="26"/>
      <c r="K18" s="9"/>
    </row>
    <row r="19" customFormat="false" ht="20.1" hidden="false" customHeight="true" outlineLevel="0" collapsed="false">
      <c r="A19" s="17"/>
      <c r="B19" s="33" t="s">
        <v>13</v>
      </c>
      <c r="C19" s="37" t="n">
        <v>31316</v>
      </c>
      <c r="D19" s="33" t="s">
        <v>14</v>
      </c>
      <c r="E19" s="31" t="s">
        <v>15</v>
      </c>
      <c r="F19" s="31"/>
      <c r="G19" s="25"/>
      <c r="H19" s="26"/>
      <c r="M19" s="38"/>
      <c r="N19" s="38"/>
      <c r="O19" s="38"/>
      <c r="P19" s="38"/>
      <c r="Q19" s="38"/>
      <c r="R19" s="38"/>
      <c r="S19" s="38"/>
      <c r="T19" s="38"/>
    </row>
    <row r="20" customFormat="false" ht="8.1" hidden="false" customHeight="true" outlineLevel="0" collapsed="false">
      <c r="A20" s="17"/>
      <c r="B20" s="9"/>
      <c r="C20" s="33"/>
      <c r="D20" s="9"/>
      <c r="E20" s="9"/>
      <c r="F20" s="26"/>
      <c r="G20" s="25"/>
      <c r="H20" s="26"/>
      <c r="M20" s="38"/>
      <c r="N20" s="38"/>
      <c r="O20" s="38"/>
      <c r="P20" s="38"/>
      <c r="Q20" s="38"/>
      <c r="R20" s="38"/>
      <c r="S20" s="38"/>
      <c r="T20" s="38"/>
    </row>
    <row r="21" customFormat="false" ht="20.1" hidden="false" customHeight="true" outlineLevel="0" collapsed="false">
      <c r="A21" s="17"/>
      <c r="B21" s="33" t="s">
        <v>16</v>
      </c>
      <c r="C21" s="39"/>
      <c r="D21" s="33" t="s">
        <v>17</v>
      </c>
      <c r="E21" s="40" t="s">
        <v>18</v>
      </c>
      <c r="F21" s="40"/>
      <c r="G21" s="25"/>
      <c r="H21" s="26"/>
      <c r="M21" s="38"/>
      <c r="N21" s="38"/>
      <c r="O21" s="38"/>
      <c r="P21" s="38"/>
      <c r="Q21" s="38"/>
      <c r="R21" s="38"/>
      <c r="S21" s="38"/>
      <c r="T21" s="38"/>
    </row>
    <row r="22" customFormat="false" ht="8.1" hidden="false" customHeight="true" outlineLevel="0" collapsed="false">
      <c r="A22" s="17"/>
      <c r="B22" s="9"/>
      <c r="C22" s="33"/>
      <c r="D22" s="9"/>
      <c r="E22" s="9"/>
      <c r="F22" s="26"/>
      <c r="G22" s="25"/>
      <c r="H22" s="26"/>
      <c r="M22" s="38"/>
      <c r="N22" s="38"/>
      <c r="O22" s="38"/>
      <c r="P22" s="38"/>
      <c r="Q22" s="38"/>
      <c r="R22" s="38"/>
      <c r="S22" s="38"/>
      <c r="T22" s="38"/>
    </row>
    <row r="23" customFormat="false" ht="20.1" hidden="false" customHeight="true" outlineLevel="0" collapsed="false">
      <c r="A23" s="17"/>
      <c r="B23" s="33" t="s">
        <v>19</v>
      </c>
      <c r="C23" s="31" t="s">
        <v>20</v>
      </c>
      <c r="D23" s="31"/>
      <c r="E23" s="31"/>
      <c r="F23" s="31"/>
      <c r="G23" s="25"/>
      <c r="H23" s="26"/>
      <c r="M23" s="38"/>
      <c r="N23" s="38"/>
      <c r="O23" s="38"/>
      <c r="P23" s="38"/>
      <c r="Q23" s="38"/>
      <c r="R23" s="38"/>
      <c r="S23" s="38"/>
      <c r="T23" s="38"/>
    </row>
    <row r="24" customFormat="false" ht="8.1" hidden="false" customHeight="true" outlineLevel="0" collapsed="false">
      <c r="A24" s="17"/>
      <c r="B24" s="9"/>
      <c r="C24" s="33"/>
      <c r="D24" s="9"/>
      <c r="E24" s="9"/>
      <c r="F24" s="26"/>
      <c r="G24" s="25"/>
      <c r="H24" s="26"/>
      <c r="M24" s="38"/>
      <c r="N24" s="38"/>
      <c r="O24" s="38"/>
      <c r="P24" s="38"/>
      <c r="Q24" s="38"/>
      <c r="R24" s="38"/>
      <c r="S24" s="38"/>
      <c r="T24" s="38"/>
    </row>
    <row r="25" customFormat="false" ht="19.5" hidden="false" customHeight="true" outlineLevel="0" collapsed="false">
      <c r="A25" s="41"/>
      <c r="B25" s="9"/>
      <c r="C25" s="42"/>
      <c r="D25" s="42"/>
      <c r="E25" s="42"/>
      <c r="F25" s="42"/>
      <c r="G25" s="25"/>
      <c r="H25" s="26"/>
      <c r="M25" s="38"/>
      <c r="N25" s="38"/>
      <c r="O25" s="38"/>
      <c r="P25" s="38"/>
      <c r="Q25" s="38"/>
      <c r="R25" s="38"/>
      <c r="S25" s="38"/>
      <c r="T25" s="38"/>
    </row>
    <row r="26" customFormat="false" ht="8.1" hidden="false" customHeight="true" outlineLevel="0" collapsed="false">
      <c r="A26" s="17"/>
      <c r="B26" s="33"/>
      <c r="C26" s="9"/>
      <c r="D26" s="9"/>
      <c r="E26" s="26"/>
      <c r="F26" s="26"/>
      <c r="G26" s="25"/>
      <c r="H26" s="26"/>
      <c r="M26" s="38"/>
      <c r="N26" s="38"/>
      <c r="O26" s="38"/>
      <c r="P26" s="38"/>
      <c r="Q26" s="38"/>
      <c r="R26" s="38"/>
      <c r="S26" s="38"/>
      <c r="T26" s="38"/>
    </row>
    <row r="27" customFormat="false" ht="14.25" hidden="false" customHeight="true" outlineLevel="0" collapsed="false">
      <c r="A27" s="17"/>
      <c r="B27" s="9"/>
      <c r="C27" s="9"/>
      <c r="D27" s="9"/>
      <c r="E27" s="26"/>
      <c r="F27" s="26"/>
      <c r="G27" s="25"/>
      <c r="H27" s="26"/>
      <c r="M27" s="38"/>
      <c r="N27" s="38"/>
      <c r="O27" s="38"/>
      <c r="P27" s="38"/>
      <c r="Q27" s="38"/>
      <c r="R27" s="38"/>
      <c r="S27" s="38"/>
      <c r="T27" s="38"/>
    </row>
    <row r="28" customFormat="false" ht="15.6" hidden="false" customHeight="false" outlineLevel="0" collapsed="false">
      <c r="A28" s="17"/>
      <c r="B28" s="33"/>
      <c r="C28" s="9"/>
      <c r="D28" s="9"/>
      <c r="E28" s="9"/>
      <c r="F28" s="43"/>
      <c r="G28" s="44"/>
      <c r="H28" s="43"/>
      <c r="M28" s="38"/>
      <c r="N28" s="38"/>
      <c r="O28" s="38"/>
      <c r="P28" s="38"/>
      <c r="Q28" s="38"/>
      <c r="R28" s="38"/>
      <c r="S28" s="38"/>
      <c r="T28" s="38"/>
    </row>
    <row r="29" customFormat="false" ht="39" hidden="false" customHeight="true" outlineLevel="0" collapsed="false">
      <c r="A29" s="17"/>
      <c r="B29" s="45" t="s">
        <v>21</v>
      </c>
      <c r="C29" s="46" t="s">
        <v>22</v>
      </c>
      <c r="D29" s="46"/>
      <c r="E29" s="47" t="str">
        <f aca="false">IF(C29="Personnalité morale",listes!B15,IF(C29="Formateur occasionnel",listes!B16,IF(C29="Indépendant, auto-entrepreneur",listes!B14,"")))</f>
        <v>Formateur occasionnel (statut 2): salarié d'entreprise, fonctionnaire, etc. 
29 interventions maximun par an.</v>
      </c>
      <c r="F29" s="47"/>
      <c r="G29" s="47"/>
      <c r="H29" s="43"/>
      <c r="M29" s="38"/>
      <c r="N29" s="38"/>
      <c r="O29" s="38"/>
      <c r="P29" s="38"/>
      <c r="Q29" s="38"/>
      <c r="R29" s="38"/>
      <c r="S29" s="38"/>
      <c r="T29" s="38"/>
    </row>
    <row r="30" customFormat="false" ht="21" hidden="false" customHeight="true" outlineLevel="0" collapsed="false">
      <c r="A30" s="17"/>
      <c r="B30" s="9"/>
      <c r="C30" s="48" t="s">
        <v>23</v>
      </c>
      <c r="D30" s="9"/>
      <c r="E30" s="9"/>
      <c r="F30" s="9"/>
      <c r="G30" s="14"/>
      <c r="H30" s="43"/>
      <c r="J30" s="9"/>
      <c r="K30" s="43"/>
      <c r="L30" s="43"/>
      <c r="M30" s="38"/>
      <c r="N30" s="38"/>
      <c r="O30" s="38"/>
      <c r="P30" s="38"/>
      <c r="Q30" s="38"/>
      <c r="R30" s="38"/>
      <c r="S30" s="38"/>
      <c r="T30" s="38"/>
    </row>
    <row r="31" customFormat="false" ht="15" hidden="false" customHeight="true" outlineLevel="0" collapsed="false">
      <c r="A31" s="17"/>
      <c r="B31" s="49" t="str">
        <f aca="false">IF(C29="Indépendant, auto-entrepreneur","N° SIRET:",IF(C29="Personnalité morale","N° SIRET:",""))</f>
        <v/>
      </c>
      <c r="C31" s="50"/>
      <c r="D31" s="49" t="str">
        <f aca="false">IF(C29="Indépendant, auto-entrepreneur","Code NAF 2:",IF(C29="Personnalité morale","Code NAF 2:",""))</f>
        <v/>
      </c>
      <c r="E31" s="51"/>
      <c r="F31" s="51"/>
      <c r="G31" s="14"/>
      <c r="H31" s="43"/>
      <c r="M31" s="38"/>
      <c r="N31" s="38"/>
      <c r="O31" s="38"/>
      <c r="P31" s="38"/>
      <c r="Q31" s="38"/>
      <c r="R31" s="38"/>
      <c r="S31" s="38"/>
      <c r="T31" s="38"/>
    </row>
    <row r="32" customFormat="false" ht="6" hidden="false" customHeight="true" outlineLevel="0" collapsed="false">
      <c r="A32" s="17"/>
      <c r="B32" s="49"/>
      <c r="C32" s="50"/>
      <c r="D32" s="50"/>
      <c r="E32" s="50"/>
      <c r="F32" s="50"/>
      <c r="G32" s="14"/>
      <c r="H32" s="43"/>
      <c r="J32" s="52"/>
      <c r="K32" s="42"/>
      <c r="L32" s="42"/>
      <c r="M32" s="38"/>
      <c r="N32" s="38"/>
      <c r="O32" s="38"/>
      <c r="P32" s="38"/>
      <c r="Q32" s="38"/>
      <c r="R32" s="38"/>
      <c r="S32" s="38"/>
      <c r="T32" s="38"/>
    </row>
    <row r="33" customFormat="false" ht="15" hidden="false" customHeight="true" outlineLevel="0" collapsed="false">
      <c r="A33" s="17"/>
      <c r="B33" s="49" t="str">
        <f aca="false">IF(C29="Indépendant, auto-entrepreneur","N° Existence:",IF(C29="Personnalité morale","N° Existence:",""))</f>
        <v/>
      </c>
      <c r="C33" s="50"/>
      <c r="D33" s="50"/>
      <c r="E33" s="50"/>
      <c r="F33" s="50"/>
      <c r="G33" s="14"/>
      <c r="H33" s="43"/>
      <c r="J33" s="53"/>
      <c r="K33" s="53"/>
      <c r="L33" s="53"/>
      <c r="M33" s="38"/>
      <c r="N33" s="38"/>
      <c r="O33" s="38"/>
      <c r="P33" s="38"/>
      <c r="Q33" s="38"/>
      <c r="R33" s="38"/>
      <c r="S33" s="38"/>
      <c r="T33" s="38"/>
    </row>
    <row r="34" customFormat="false" ht="6.75" hidden="false" customHeight="true" outlineLevel="0" collapsed="false">
      <c r="A34" s="17"/>
      <c r="B34" s="50"/>
      <c r="C34" s="50"/>
      <c r="D34" s="50"/>
      <c r="E34" s="50"/>
      <c r="F34" s="50"/>
      <c r="G34" s="14"/>
      <c r="H34" s="43"/>
      <c r="J34" s="53"/>
      <c r="K34" s="53"/>
      <c r="L34" s="53"/>
      <c r="M34" s="38"/>
      <c r="N34" s="38"/>
      <c r="O34" s="38"/>
      <c r="P34" s="38"/>
      <c r="Q34" s="38"/>
      <c r="R34" s="38"/>
      <c r="S34" s="38"/>
      <c r="T34" s="38"/>
    </row>
    <row r="35" customFormat="false" ht="17.25" hidden="false" customHeight="true" outlineLevel="0" collapsed="false">
      <c r="A35" s="54"/>
      <c r="B35" s="55" t="str">
        <f aca="false">IF(C29="Personnalité morale","Adresse:","")</f>
        <v/>
      </c>
      <c r="C35" s="56"/>
      <c r="D35" s="56"/>
      <c r="E35" s="56"/>
      <c r="F35" s="56"/>
      <c r="G35" s="14"/>
      <c r="H35" s="43"/>
      <c r="J35" s="53"/>
      <c r="K35" s="53"/>
      <c r="L35" s="53"/>
      <c r="M35" s="38"/>
      <c r="N35" s="38"/>
      <c r="O35" s="38"/>
      <c r="P35" s="38"/>
      <c r="Q35" s="38"/>
      <c r="R35" s="38"/>
      <c r="S35" s="38"/>
      <c r="T35" s="38"/>
    </row>
    <row r="36" customFormat="false" ht="10.5" hidden="false" customHeight="true" outlineLevel="0" collapsed="false">
      <c r="A36" s="54"/>
      <c r="B36" s="55"/>
      <c r="C36" s="9"/>
      <c r="D36" s="9"/>
      <c r="E36" s="9"/>
      <c r="F36" s="9"/>
      <c r="G36" s="14"/>
      <c r="H36" s="43"/>
      <c r="I36" s="57"/>
      <c r="J36" s="53"/>
      <c r="K36" s="53"/>
      <c r="L36" s="53"/>
      <c r="M36" s="38"/>
      <c r="N36" s="38"/>
      <c r="O36" s="38"/>
      <c r="P36" s="38"/>
      <c r="Q36" s="38"/>
      <c r="R36" s="38"/>
      <c r="S36" s="38"/>
      <c r="T36" s="38"/>
    </row>
    <row r="37" customFormat="false" ht="17.25" hidden="false" customHeight="true" outlineLevel="0" collapsed="false">
      <c r="A37" s="54"/>
      <c r="B37" s="55" t="str">
        <f aca="false">IF(C29="Personnalité morale","Code postal:","")</f>
        <v/>
      </c>
      <c r="C37" s="9"/>
      <c r="D37" s="55" t="str">
        <f aca="false">IF(C29="Personnalité morale","Ville:","")</f>
        <v/>
      </c>
      <c r="E37" s="56"/>
      <c r="F37" s="56"/>
      <c r="G37" s="14"/>
      <c r="H37" s="43"/>
      <c r="I37" s="57"/>
      <c r="J37" s="53"/>
      <c r="K37" s="53"/>
      <c r="L37" s="53"/>
      <c r="M37" s="38"/>
      <c r="N37" s="38"/>
      <c r="O37" s="38"/>
      <c r="P37" s="38"/>
      <c r="Q37" s="38"/>
      <c r="R37" s="38"/>
      <c r="S37" s="38"/>
      <c r="T37" s="38"/>
    </row>
    <row r="38" customFormat="false" ht="6.75" hidden="false" customHeight="true" outlineLevel="0" collapsed="false">
      <c r="A38" s="54"/>
      <c r="B38" s="33"/>
      <c r="C38" s="9"/>
      <c r="D38" s="9"/>
      <c r="E38" s="9"/>
      <c r="F38" s="9"/>
      <c r="G38" s="14"/>
      <c r="H38" s="43"/>
      <c r="I38" s="57"/>
      <c r="J38" s="53"/>
      <c r="K38" s="53"/>
      <c r="L38" s="53"/>
      <c r="M38" s="38"/>
      <c r="N38" s="38"/>
      <c r="O38" s="38"/>
      <c r="P38" s="38"/>
      <c r="Q38" s="38"/>
      <c r="R38" s="38"/>
      <c r="S38" s="38"/>
      <c r="T38" s="38"/>
    </row>
    <row r="39" customFormat="false" ht="15" hidden="false" customHeight="true" outlineLevel="0" collapsed="false">
      <c r="A39" s="17"/>
      <c r="B39" s="9"/>
      <c r="C39" s="9"/>
      <c r="D39" s="9"/>
      <c r="E39" s="9"/>
      <c r="F39" s="9"/>
      <c r="G39" s="14"/>
      <c r="H39" s="43"/>
      <c r="I39" s="57"/>
      <c r="J39" s="53"/>
      <c r="K39" s="53"/>
      <c r="L39" s="53"/>
      <c r="M39" s="38"/>
      <c r="N39" s="38"/>
      <c r="O39" s="38"/>
      <c r="P39" s="38"/>
      <c r="Q39" s="38"/>
      <c r="R39" s="38"/>
      <c r="S39" s="38"/>
      <c r="T39" s="38"/>
    </row>
    <row r="40" customFormat="false" ht="9" hidden="false" customHeight="true" outlineLevel="0" collapsed="false">
      <c r="A40" s="17"/>
      <c r="B40" s="9"/>
      <c r="C40" s="9"/>
      <c r="D40" s="9"/>
      <c r="E40" s="9"/>
      <c r="F40" s="9"/>
      <c r="G40" s="14"/>
      <c r="H40" s="43"/>
      <c r="I40" s="57"/>
      <c r="J40" s="53"/>
      <c r="K40" s="53"/>
      <c r="L40" s="53"/>
      <c r="M40" s="38"/>
      <c r="N40" s="38"/>
      <c r="O40" s="38"/>
      <c r="P40" s="38"/>
      <c r="Q40" s="38"/>
      <c r="R40" s="38"/>
      <c r="S40" s="38"/>
      <c r="T40" s="38"/>
    </row>
    <row r="41" customFormat="false" ht="20.25" hidden="false" customHeight="true" outlineLevel="0" collapsed="false">
      <c r="A41" s="17"/>
      <c r="B41" s="45" t="s">
        <v>24</v>
      </c>
      <c r="C41" s="46" t="s">
        <v>25</v>
      </c>
      <c r="D41" s="46"/>
      <c r="E41" s="46"/>
      <c r="F41" s="46"/>
      <c r="G41" s="14"/>
      <c r="H41" s="43"/>
      <c r="J41" s="53"/>
      <c r="K41" s="53"/>
      <c r="L41" s="53"/>
      <c r="M41" s="53"/>
      <c r="N41" s="53"/>
    </row>
    <row r="42" customFormat="false" ht="16.5" hidden="false" customHeight="true" outlineLevel="0" collapsed="false">
      <c r="A42" s="17"/>
      <c r="B42" s="9"/>
      <c r="C42" s="9" t="s">
        <v>23</v>
      </c>
      <c r="D42" s="9"/>
      <c r="E42" s="9"/>
      <c r="F42" s="9"/>
      <c r="G42" s="14"/>
      <c r="H42" s="43"/>
      <c r="J42" s="53"/>
      <c r="K42" s="53"/>
      <c r="L42" s="53"/>
      <c r="M42" s="53"/>
      <c r="N42" s="53"/>
    </row>
    <row r="43" customFormat="false" ht="3" hidden="false" customHeight="true" outlineLevel="0" collapsed="false">
      <c r="A43" s="17"/>
      <c r="B43" s="9"/>
      <c r="C43" s="9"/>
      <c r="D43" s="9"/>
      <c r="E43" s="9"/>
      <c r="F43" s="9"/>
      <c r="G43" s="14"/>
      <c r="H43" s="43"/>
      <c r="J43" s="53"/>
      <c r="K43" s="53"/>
      <c r="L43" s="53"/>
      <c r="M43" s="53"/>
      <c r="N43" s="53"/>
    </row>
    <row r="44" customFormat="false" ht="19.5" hidden="false" customHeight="true" outlineLevel="0" collapsed="false">
      <c r="A44" s="58" t="str">
        <f aca="false">IF(C29="Salarié(e) CESI",IF(C41="CESI Ecole d'Ingénieurs","Vous êtes:",""),"")</f>
        <v/>
      </c>
      <c r="B44" s="32"/>
      <c r="C44" s="52" t="str">
        <f aca="false">IF(C29="Salarié(e) groupe Cesi",IF(C41="ei.CESI / exia.CESI","Fonction:",""),"")</f>
        <v/>
      </c>
      <c r="D44" s="32"/>
      <c r="E44" s="9"/>
      <c r="F44" s="59" t="str">
        <f aca="false">IF(C29="Salarié(e) groupe Cesi",IF(C41="ei.CESI / exia.CESI","Dispensé d'enseignement:",""),"")</f>
        <v/>
      </c>
      <c r="G44" s="60"/>
      <c r="H44" s="61"/>
      <c r="J44" s="53"/>
      <c r="K44" s="53"/>
      <c r="L44" s="53"/>
      <c r="M44" s="53"/>
      <c r="N44" s="53"/>
    </row>
    <row r="45" customFormat="false" ht="8.25" hidden="false" customHeight="true" outlineLevel="0" collapsed="false">
      <c r="A45" s="17"/>
      <c r="B45" s="62"/>
      <c r="C45" s="62"/>
      <c r="D45" s="9"/>
      <c r="E45" s="9"/>
      <c r="F45" s="9"/>
      <c r="G45" s="14"/>
      <c r="H45" s="43"/>
      <c r="J45" s="53"/>
      <c r="K45" s="53"/>
      <c r="L45" s="53"/>
      <c r="M45" s="53"/>
      <c r="N45" s="53"/>
    </row>
    <row r="46" customFormat="false" ht="10.5" hidden="false" customHeight="true" outlineLevel="0" collapsed="false">
      <c r="A46" s="63"/>
      <c r="B46" s="62"/>
      <c r="C46" s="62"/>
      <c r="D46" s="64"/>
      <c r="E46" s="9"/>
      <c r="F46" s="9"/>
      <c r="G46" s="14"/>
      <c r="H46" s="65"/>
      <c r="J46" s="53"/>
      <c r="K46" s="53"/>
      <c r="L46" s="53"/>
      <c r="M46" s="53"/>
      <c r="N46" s="53"/>
    </row>
    <row r="47" customFormat="false" ht="30" hidden="false" customHeight="true" outlineLevel="0" collapsed="false">
      <c r="A47" s="63"/>
      <c r="B47" s="66" t="str">
        <f aca="false">IF(C29&lt;&gt;"Salarié(e) CESI",IF(C29&lt;&gt;"",VLOOKUP(C41,listes!C33:J35,2,0),0),0)</f>
        <v>Une convention a-t-elle été signée entre CESI et votre université / école de rattachement ?</v>
      </c>
      <c r="C47" s="66"/>
      <c r="D47" s="66"/>
      <c r="E47" s="67" t="s">
        <v>26</v>
      </c>
      <c r="F47" s="43"/>
      <c r="G47" s="14"/>
      <c r="H47" s="65"/>
      <c r="J47" s="53"/>
      <c r="K47" s="53"/>
      <c r="L47" s="53"/>
      <c r="M47" s="53"/>
      <c r="N47" s="53"/>
    </row>
    <row r="48" customFormat="false" ht="15" hidden="false" customHeight="true" outlineLevel="0" collapsed="false">
      <c r="A48" s="17"/>
      <c r="B48" s="9"/>
      <c r="C48" s="9"/>
      <c r="D48" s="9"/>
      <c r="E48" s="9"/>
      <c r="F48" s="9"/>
      <c r="G48" s="14"/>
      <c r="H48" s="65"/>
      <c r="M48" s="57"/>
      <c r="N48" s="9"/>
    </row>
    <row r="49" customFormat="false" ht="15" hidden="false" customHeight="true" outlineLevel="0" collapsed="false">
      <c r="A49" s="17"/>
      <c r="B49" s="9"/>
      <c r="C49" s="55" t="str">
        <f aca="false">IF(C29&lt;&gt;"Salarié(e) CESI",IF(C29&lt;&gt;"",VLOOKUP(C41,listes!C33:J35,3,0),0),0)</f>
        <v>Vous exercez une activité de:</v>
      </c>
      <c r="D49" s="42" t="s">
        <v>27</v>
      </c>
      <c r="E49" s="42"/>
      <c r="F49" s="68" t="str">
        <f aca="false">IF(D49&lt;&gt;"Vacataire",VLOOKUP(D49&amp;"_"&amp;E47,listes!J19:M29,4,0),VLOOKUP(D49&amp;"_"&amp;D51,listes!J19:M29,4,0))</f>
        <v>D2</v>
      </c>
      <c r="G49" s="14"/>
      <c r="H49" s="65"/>
      <c r="M49" s="57"/>
      <c r="N49" s="9"/>
    </row>
    <row r="50" customFormat="false" ht="3.75" hidden="false" customHeight="true" outlineLevel="0" collapsed="false">
      <c r="A50" s="17"/>
      <c r="B50" s="9"/>
      <c r="C50" s="9"/>
      <c r="D50" s="9"/>
      <c r="E50" s="9"/>
      <c r="F50" s="9"/>
      <c r="G50" s="14"/>
      <c r="M50" s="9"/>
      <c r="N50" s="9"/>
    </row>
    <row r="51" customFormat="false" ht="15" hidden="false" customHeight="true" outlineLevel="0" collapsed="false">
      <c r="A51" s="17"/>
      <c r="B51" s="9"/>
      <c r="C51" s="55" t="str">
        <f aca="false">IF(C29&lt;&gt;"Salarié(e) CESI",IF(C29&lt;&gt;"",VLOOKUP(C41,listes!C33:J35,4,0),0),0)</f>
        <v>Vous êtes:</v>
      </c>
      <c r="D51" s="42"/>
      <c r="E51" s="42"/>
      <c r="F51" s="32"/>
      <c r="G51" s="14"/>
      <c r="M51" s="9"/>
      <c r="N51" s="9"/>
    </row>
    <row r="52" customFormat="false" ht="3.75" hidden="false" customHeight="true" outlineLevel="0" collapsed="false">
      <c r="A52" s="17"/>
      <c r="B52" s="9"/>
      <c r="C52" s="9"/>
      <c r="D52" s="9"/>
      <c r="E52" s="9"/>
      <c r="F52" s="9"/>
      <c r="G52" s="14"/>
      <c r="M52" s="9"/>
      <c r="N52" s="9"/>
    </row>
    <row r="53" customFormat="false" ht="15" hidden="false" customHeight="true" outlineLevel="0" collapsed="false">
      <c r="A53" s="17"/>
      <c r="B53" s="9"/>
      <c r="C53" s="55" t="str">
        <f aca="false">IF(C29&lt;&gt;"Salarié(e) CESI",IF(C29&lt;&gt;"",VLOOKUP(C41,listes!C33:J35,5,0),0),0)</f>
        <v>Rattachement:</v>
      </c>
      <c r="D53" s="69"/>
      <c r="E53" s="69"/>
      <c r="F53" s="9"/>
      <c r="G53" s="14"/>
      <c r="M53" s="9"/>
      <c r="N53" s="9"/>
    </row>
    <row r="54" customFormat="false" ht="3.75" hidden="false" customHeight="true" outlineLevel="0" collapsed="false">
      <c r="A54" s="17"/>
      <c r="B54" s="9"/>
      <c r="C54" s="55"/>
      <c r="D54" s="70"/>
      <c r="E54" s="57"/>
      <c r="F54" s="9"/>
      <c r="G54" s="14"/>
      <c r="M54" s="9"/>
      <c r="N54" s="9"/>
    </row>
    <row r="55" customFormat="false" ht="15" hidden="false" customHeight="true" outlineLevel="0" collapsed="false">
      <c r="A55" s="17"/>
      <c r="B55" s="55"/>
      <c r="C55" s="55" t="str">
        <f aca="false">IF(C29&lt;&gt;"Salarié(e) CESI",IF(C29&lt;&gt;"",VLOOKUP(C41,listes!C33:J35,6,0),0),0)</f>
        <v>Etablissement académique:</v>
      </c>
      <c r="D55" s="69"/>
      <c r="E55" s="69"/>
      <c r="F55" s="9"/>
      <c r="G55" s="14"/>
      <c r="M55" s="9"/>
      <c r="N55" s="9"/>
    </row>
    <row r="56" customFormat="false" ht="3.75" hidden="false" customHeight="true" outlineLevel="0" collapsed="false">
      <c r="A56" s="17"/>
      <c r="B56" s="55"/>
      <c r="C56" s="55"/>
      <c r="D56" s="70"/>
      <c r="E56" s="9"/>
      <c r="F56" s="9"/>
      <c r="G56" s="14"/>
      <c r="J56" s="9"/>
      <c r="K56" s="69"/>
      <c r="L56" s="69"/>
      <c r="M56" s="9"/>
    </row>
    <row r="57" customFormat="false" ht="15" hidden="false" customHeight="true" outlineLevel="0" collapsed="false">
      <c r="A57" s="17"/>
      <c r="B57" s="55"/>
      <c r="C57" s="55" t="str">
        <f aca="false">IF(C29&lt;&gt;"Salarié(e) CESI",IF(C29&lt;&gt;"",VLOOKUP(C41,listes!C33:J35,7,0),0),0)</f>
        <v>Laboratoire:</v>
      </c>
      <c r="D57" s="69"/>
      <c r="E57" s="69"/>
      <c r="F57" s="9"/>
      <c r="G57" s="14"/>
      <c r="J57" s="9"/>
      <c r="K57" s="69"/>
      <c r="L57" s="69"/>
      <c r="M57" s="9"/>
    </row>
    <row r="58" customFormat="false" ht="3.75" hidden="false" customHeight="true" outlineLevel="0" collapsed="false">
      <c r="A58" s="17"/>
      <c r="B58" s="55"/>
      <c r="C58" s="55"/>
      <c r="D58" s="71"/>
      <c r="E58" s="9"/>
      <c r="F58" s="9"/>
      <c r="G58" s="14"/>
      <c r="J58" s="9"/>
      <c r="K58" s="69"/>
      <c r="L58" s="69"/>
      <c r="M58" s="9"/>
    </row>
    <row r="59" customFormat="false" ht="15" hidden="false" customHeight="true" outlineLevel="0" collapsed="false">
      <c r="A59" s="17"/>
      <c r="B59" s="55"/>
      <c r="C59" s="55" t="str">
        <f aca="false">IF(C29&lt;&gt;"Salarié(e) CESI",IF(C29&lt;&gt;"",VLOOKUP(C41,listes!C33:J35,8,0),0),0)</f>
        <v>Activité principale:</v>
      </c>
      <c r="D59" s="69"/>
      <c r="E59" s="69"/>
      <c r="F59" s="9"/>
      <c r="G59" s="14"/>
      <c r="J59" s="9"/>
      <c r="K59" s="69"/>
      <c r="L59" s="69"/>
      <c r="M59" s="9"/>
    </row>
    <row r="60" s="9" customFormat="true" ht="38.25" hidden="false" customHeight="true" outlineLevel="0" collapsed="false">
      <c r="A60" s="72"/>
      <c r="B60" s="73"/>
      <c r="C60" s="73"/>
      <c r="D60" s="73"/>
      <c r="E60" s="73"/>
      <c r="F60" s="73"/>
      <c r="G60" s="74"/>
    </row>
    <row r="61" s="9" customFormat="true" ht="12.75" hidden="false" customHeight="true" outlineLevel="0" collapsed="false">
      <c r="A61" s="75"/>
      <c r="B61" s="75"/>
      <c r="C61" s="75"/>
      <c r="D61" s="75"/>
      <c r="E61" s="75"/>
      <c r="F61" s="75"/>
      <c r="G61" s="75"/>
    </row>
    <row r="62" customFormat="false" ht="23.25" hidden="false" customHeight="true" outlineLevel="0" collapsed="false">
      <c r="A62" s="76"/>
      <c r="B62" s="76"/>
      <c r="C62" s="76"/>
      <c r="D62" s="76"/>
      <c r="E62" s="76"/>
      <c r="F62" s="76"/>
      <c r="G62" s="76"/>
      <c r="J62" s="77"/>
      <c r="K62" s="77"/>
      <c r="L62" s="77"/>
    </row>
    <row r="63" customFormat="false" ht="91.5" hidden="false" customHeight="true" outlineLevel="0" collapsed="false">
      <c r="A63" s="17"/>
      <c r="B63" s="9"/>
      <c r="C63" s="9"/>
      <c r="D63" s="9"/>
      <c r="E63" s="9"/>
      <c r="F63" s="9"/>
      <c r="G63" s="14"/>
    </row>
    <row r="64" customFormat="false" ht="88.5" hidden="false" customHeight="true" outlineLevel="0" collapsed="false">
      <c r="A64" s="78"/>
      <c r="B64" s="79"/>
      <c r="C64" s="79"/>
      <c r="D64" s="79"/>
      <c r="E64" s="79"/>
      <c r="F64" s="79"/>
      <c r="G64" s="80"/>
    </row>
    <row r="65" customFormat="false" ht="26.25" hidden="false" customHeight="true" outlineLevel="0" collapsed="false">
      <c r="A65" s="81" t="s">
        <v>28</v>
      </c>
      <c r="B65" s="82"/>
      <c r="C65" s="82"/>
      <c r="D65" s="82"/>
      <c r="E65" s="82"/>
      <c r="F65" s="82"/>
      <c r="G65" s="83"/>
    </row>
    <row r="66" customFormat="false" ht="61.5" hidden="false" customHeight="true" outlineLevel="0" collapsed="false">
      <c r="A66" s="84"/>
      <c r="B66" s="84"/>
      <c r="C66" s="84"/>
      <c r="D66" s="84"/>
      <c r="E66" s="84"/>
      <c r="F66" s="84"/>
      <c r="G66" s="84"/>
      <c r="L66" s="85"/>
      <c r="M66" s="85"/>
      <c r="N66" s="85"/>
      <c r="O66" s="85"/>
      <c r="P66" s="85"/>
      <c r="Q66" s="85"/>
      <c r="R66" s="85"/>
    </row>
    <row r="67" customFormat="false" ht="61.5" hidden="false" customHeight="true" outlineLevel="0" collapsed="false">
      <c r="A67" s="84"/>
      <c r="B67" s="84"/>
      <c r="C67" s="84"/>
      <c r="D67" s="84"/>
      <c r="E67" s="84"/>
      <c r="F67" s="84"/>
      <c r="G67" s="84"/>
      <c r="L67" s="85"/>
      <c r="M67" s="85"/>
      <c r="N67" s="85"/>
      <c r="O67" s="85"/>
      <c r="P67" s="85"/>
      <c r="Q67" s="85"/>
      <c r="R67" s="85"/>
    </row>
    <row r="68" customFormat="false" ht="61.5" hidden="false" customHeight="true" outlineLevel="0" collapsed="false">
      <c r="A68" s="84"/>
      <c r="B68" s="84"/>
      <c r="C68" s="84"/>
      <c r="D68" s="84"/>
      <c r="E68" s="84"/>
      <c r="F68" s="84"/>
      <c r="G68" s="84"/>
    </row>
    <row r="69" customFormat="false" ht="61.5" hidden="false" customHeight="true" outlineLevel="0" collapsed="false">
      <c r="A69" s="84"/>
      <c r="B69" s="84"/>
      <c r="C69" s="84"/>
      <c r="D69" s="84"/>
      <c r="E69" s="84"/>
      <c r="F69" s="84"/>
      <c r="G69" s="84"/>
    </row>
    <row r="70" customFormat="false" ht="61.5" hidden="false" customHeight="true" outlineLevel="0" collapsed="false">
      <c r="A70" s="84"/>
      <c r="B70" s="84"/>
      <c r="C70" s="84"/>
      <c r="D70" s="84"/>
      <c r="E70" s="84"/>
      <c r="F70" s="84"/>
      <c r="G70" s="84"/>
    </row>
    <row r="71" customFormat="false" ht="61.5" hidden="false" customHeight="true" outlineLevel="0" collapsed="false">
      <c r="A71" s="84"/>
      <c r="B71" s="84"/>
      <c r="C71" s="84"/>
      <c r="D71" s="84"/>
      <c r="E71" s="84"/>
      <c r="F71" s="84"/>
      <c r="G71" s="84"/>
    </row>
    <row r="72" customFormat="false" ht="26.25" hidden="false" customHeight="true" outlineLevel="0" collapsed="false">
      <c r="A72" s="17"/>
      <c r="B72" s="9"/>
      <c r="C72" s="9"/>
      <c r="D72" s="9"/>
      <c r="E72" s="9"/>
      <c r="F72" s="9"/>
      <c r="G72" s="14"/>
    </row>
    <row r="73" customFormat="false" ht="14.4" hidden="false" customHeight="false" outlineLevel="0" collapsed="false">
      <c r="A73" s="86" t="s">
        <v>29</v>
      </c>
      <c r="B73" s="86"/>
      <c r="C73" s="86"/>
      <c r="D73" s="86"/>
      <c r="E73" s="86"/>
      <c r="F73" s="86"/>
      <c r="G73" s="86"/>
    </row>
    <row r="74" customFormat="false" ht="22.5" hidden="false" customHeight="true" outlineLevel="0" collapsed="false">
      <c r="A74" s="87" t="s">
        <v>30</v>
      </c>
      <c r="B74" s="87"/>
      <c r="C74" s="87"/>
      <c r="D74" s="88" t="s">
        <v>31</v>
      </c>
      <c r="E74" s="88"/>
      <c r="F74" s="89" t="s">
        <v>32</v>
      </c>
      <c r="G74" s="89"/>
    </row>
    <row r="75" customFormat="false" ht="22.5" hidden="false" customHeight="true" outlineLevel="0" collapsed="false">
      <c r="A75" s="90"/>
      <c r="B75" s="90"/>
      <c r="C75" s="90"/>
      <c r="D75" s="91"/>
      <c r="E75" s="91"/>
      <c r="F75" s="92"/>
      <c r="G75" s="92"/>
    </row>
    <row r="76" customFormat="false" ht="22.5" hidden="false" customHeight="true" outlineLevel="0" collapsed="false">
      <c r="A76" s="90"/>
      <c r="B76" s="90"/>
      <c r="C76" s="90"/>
      <c r="D76" s="91"/>
      <c r="E76" s="91"/>
      <c r="F76" s="92"/>
      <c r="G76" s="92"/>
    </row>
    <row r="77" customFormat="false" ht="22.5" hidden="false" customHeight="true" outlineLevel="0" collapsed="false">
      <c r="A77" s="90"/>
      <c r="B77" s="90"/>
      <c r="C77" s="90"/>
      <c r="D77" s="91"/>
      <c r="E77" s="91"/>
      <c r="F77" s="92"/>
      <c r="G77" s="92"/>
    </row>
    <row r="78" customFormat="false" ht="22.5" hidden="false" customHeight="true" outlineLevel="0" collapsed="false">
      <c r="A78" s="90"/>
      <c r="B78" s="90"/>
      <c r="C78" s="90"/>
      <c r="D78" s="91"/>
      <c r="E78" s="91"/>
      <c r="F78" s="92"/>
      <c r="G78" s="92"/>
    </row>
    <row r="79" customFormat="false" ht="4.5" hidden="false" customHeight="true" outlineLevel="0" collapsed="false">
      <c r="A79" s="17"/>
      <c r="B79" s="9"/>
      <c r="C79" s="9"/>
      <c r="D79" s="9"/>
      <c r="E79" s="9"/>
      <c r="F79" s="9"/>
      <c r="G79" s="93"/>
    </row>
    <row r="80" customFormat="false" ht="14.4" hidden="false" customHeight="false" outlineLevel="0" collapsed="false">
      <c r="A80" s="94" t="s">
        <v>33</v>
      </c>
      <c r="B80" s="94"/>
      <c r="C80" s="94"/>
      <c r="D80" s="94"/>
      <c r="E80" s="94"/>
      <c r="F80" s="94"/>
      <c r="G80" s="94"/>
    </row>
    <row r="81" customFormat="false" ht="22.5" hidden="false" customHeight="true" outlineLevel="0" collapsed="false">
      <c r="A81" s="87" t="s">
        <v>34</v>
      </c>
      <c r="B81" s="87"/>
      <c r="C81" s="87"/>
      <c r="D81" s="88" t="s">
        <v>35</v>
      </c>
      <c r="E81" s="88"/>
      <c r="F81" s="89" t="s">
        <v>32</v>
      </c>
      <c r="G81" s="89"/>
    </row>
    <row r="82" customFormat="false" ht="22.5" hidden="false" customHeight="true" outlineLevel="0" collapsed="false">
      <c r="A82" s="90" t="s">
        <v>36</v>
      </c>
      <c r="B82" s="90"/>
      <c r="C82" s="90"/>
      <c r="D82" s="91" t="s">
        <v>37</v>
      </c>
      <c r="E82" s="91"/>
      <c r="F82" s="95" t="n">
        <v>3</v>
      </c>
      <c r="G82" s="95"/>
    </row>
    <row r="83" customFormat="false" ht="22.5" hidden="false" customHeight="true" outlineLevel="0" collapsed="false">
      <c r="A83" s="90" t="s">
        <v>38</v>
      </c>
      <c r="B83" s="90"/>
      <c r="C83" s="90"/>
      <c r="D83" s="91" t="s">
        <v>39</v>
      </c>
      <c r="E83" s="91"/>
      <c r="F83" s="95" t="n">
        <v>1</v>
      </c>
      <c r="G83" s="95"/>
    </row>
    <row r="84" customFormat="false" ht="22.5" hidden="false" customHeight="true" outlineLevel="0" collapsed="false">
      <c r="A84" s="90" t="s">
        <v>40</v>
      </c>
      <c r="B84" s="90"/>
      <c r="C84" s="90"/>
      <c r="D84" s="91" t="s">
        <v>41</v>
      </c>
      <c r="E84" s="91"/>
      <c r="F84" s="95" t="n">
        <v>1</v>
      </c>
      <c r="G84" s="95"/>
    </row>
    <row r="85" customFormat="false" ht="22.5" hidden="false" customHeight="true" outlineLevel="0" collapsed="false">
      <c r="A85" s="90"/>
      <c r="B85" s="90"/>
      <c r="C85" s="90"/>
      <c r="D85" s="91"/>
      <c r="E85" s="91"/>
      <c r="F85" s="95"/>
      <c r="G85" s="95"/>
    </row>
    <row r="86" customFormat="false" ht="5.25" hidden="false" customHeight="true" outlineLevel="0" collapsed="false">
      <c r="A86" s="17"/>
      <c r="B86" s="9"/>
      <c r="C86" s="9"/>
      <c r="D86" s="9"/>
      <c r="E86" s="9"/>
      <c r="F86" s="9"/>
      <c r="G86" s="14"/>
    </row>
    <row r="87" customFormat="false" ht="14.4" hidden="false" customHeight="false" outlineLevel="0" collapsed="false">
      <c r="A87" s="94" t="s">
        <v>42</v>
      </c>
      <c r="B87" s="94"/>
      <c r="C87" s="94"/>
      <c r="D87" s="94"/>
      <c r="E87" s="94"/>
      <c r="F87" s="94"/>
      <c r="G87" s="94"/>
    </row>
    <row r="88" customFormat="false" ht="22.5" hidden="false" customHeight="true" outlineLevel="0" collapsed="false">
      <c r="A88" s="87" t="s">
        <v>43</v>
      </c>
      <c r="B88" s="87"/>
      <c r="C88" s="87"/>
      <c r="D88" s="96" t="s">
        <v>44</v>
      </c>
      <c r="E88" s="96"/>
      <c r="F88" s="96"/>
      <c r="G88" s="96"/>
    </row>
    <row r="89" customFormat="false" ht="22.5" hidden="false" customHeight="true" outlineLevel="0" collapsed="false">
      <c r="A89" s="90" t="s">
        <v>36</v>
      </c>
      <c r="B89" s="90"/>
      <c r="C89" s="90"/>
      <c r="D89" s="92" t="s">
        <v>45</v>
      </c>
      <c r="E89" s="92"/>
      <c r="F89" s="92"/>
      <c r="G89" s="92"/>
    </row>
    <row r="90" customFormat="false" ht="22.5" hidden="false" customHeight="true" outlineLevel="0" collapsed="false">
      <c r="A90" s="90" t="s">
        <v>46</v>
      </c>
      <c r="B90" s="90"/>
      <c r="C90" s="90"/>
      <c r="D90" s="92" t="s">
        <v>45</v>
      </c>
      <c r="E90" s="92"/>
      <c r="F90" s="92"/>
      <c r="G90" s="92"/>
    </row>
    <row r="91" customFormat="false" ht="22.5" hidden="false" customHeight="true" outlineLevel="0" collapsed="false">
      <c r="A91" s="90"/>
      <c r="B91" s="90"/>
      <c r="C91" s="90"/>
      <c r="D91" s="92"/>
      <c r="E91" s="92"/>
      <c r="F91" s="92"/>
      <c r="G91" s="92"/>
    </row>
    <row r="92" customFormat="false" ht="22.5" hidden="false" customHeight="true" outlineLevel="0" collapsed="false">
      <c r="A92" s="90"/>
      <c r="B92" s="90"/>
      <c r="C92" s="90"/>
      <c r="D92" s="92"/>
      <c r="E92" s="92"/>
      <c r="F92" s="92"/>
      <c r="G92" s="92"/>
    </row>
    <row r="93" customFormat="false" ht="15" hidden="false" customHeight="true" outlineLevel="0" collapsed="false">
      <c r="A93" s="97"/>
      <c r="B93" s="98"/>
      <c r="C93" s="98"/>
      <c r="D93" s="98"/>
      <c r="E93" s="98"/>
      <c r="F93" s="98"/>
      <c r="G93" s="99"/>
    </row>
    <row r="94" customFormat="false" ht="16.5" hidden="false" customHeight="true" outlineLevel="0" collapsed="false">
      <c r="A94" s="100" t="s">
        <v>47</v>
      </c>
      <c r="B94" s="101" t="s">
        <v>48</v>
      </c>
      <c r="C94" s="70" t="str">
        <f aca="false">IF(B94&lt;&gt;"",IF(B94="oui","Fournir la liste des publications",""),"")</f>
        <v>Fournir la liste des publications</v>
      </c>
      <c r="D94" s="9"/>
      <c r="E94" s="56"/>
      <c r="F94" s="56"/>
      <c r="G94" s="93"/>
    </row>
    <row r="95" customFormat="false" ht="14.25" hidden="false" customHeight="true" outlineLevel="0" collapsed="false">
      <c r="A95" s="78"/>
      <c r="B95" s="102"/>
      <c r="C95" s="102"/>
      <c r="D95" s="103"/>
      <c r="E95" s="79"/>
      <c r="F95" s="79"/>
      <c r="G95" s="80"/>
    </row>
    <row r="96" customFormat="false" ht="15" hidden="false" customHeight="false" outlineLevel="0" collapsed="false">
      <c r="A96" s="104" t="s">
        <v>49</v>
      </c>
      <c r="B96" s="104"/>
      <c r="C96" s="104"/>
      <c r="D96" s="104"/>
      <c r="E96" s="104"/>
      <c r="F96" s="104"/>
      <c r="G96" s="104"/>
    </row>
    <row r="97" customFormat="false" ht="15.6" hidden="false" customHeight="false" outlineLevel="0" collapsed="false">
      <c r="A97" s="105"/>
      <c r="B97" s="106"/>
      <c r="C97" s="106"/>
      <c r="D97" s="106"/>
      <c r="E97" s="106"/>
      <c r="F97" s="106"/>
      <c r="G97" s="107"/>
    </row>
    <row r="98" customFormat="false" ht="15.6" hidden="false" customHeight="false" outlineLevel="0" collapsed="false">
      <c r="A98" s="108" t="s">
        <v>50</v>
      </c>
      <c r="B98" s="9"/>
      <c r="C98" s="9"/>
      <c r="D98" s="9"/>
      <c r="E98" s="9"/>
      <c r="F98" s="9"/>
      <c r="G98" s="14"/>
    </row>
    <row r="99" customFormat="false" ht="12.75" hidden="false" customHeight="true" outlineLevel="0" collapsed="false">
      <c r="A99" s="17"/>
      <c r="B99" s="9"/>
      <c r="C99" s="9"/>
      <c r="D99" s="9"/>
      <c r="E99" s="9"/>
      <c r="F99" s="9"/>
      <c r="G99" s="14"/>
    </row>
    <row r="100" customFormat="false" ht="12.75" hidden="false" customHeight="true" outlineLevel="0" collapsed="false">
      <c r="A100" s="17"/>
      <c r="B100" s="9"/>
      <c r="C100" s="59"/>
      <c r="D100" s="109"/>
      <c r="E100" s="9"/>
      <c r="F100" s="9"/>
      <c r="G100" s="14"/>
    </row>
    <row r="101" customFormat="false" ht="12.75" hidden="false" customHeight="true" outlineLevel="0" collapsed="false">
      <c r="A101" s="110"/>
      <c r="B101" s="9"/>
      <c r="C101" s="9"/>
      <c r="D101" s="9"/>
      <c r="E101" s="9"/>
      <c r="F101" s="9"/>
      <c r="G101" s="14"/>
    </row>
    <row r="102" customFormat="false" ht="61.5" hidden="false" customHeight="true" outlineLevel="0" collapsed="false">
      <c r="A102" s="111" t="s">
        <v>51</v>
      </c>
      <c r="B102" s="111"/>
      <c r="C102" s="111"/>
      <c r="D102" s="46"/>
      <c r="E102" s="112" t="str">
        <f aca="false">IF(D102="oui","Cocher « appartient au corps enseignant » dans la fiche personne au niveau de BORA","")</f>
        <v/>
      </c>
      <c r="F102" s="112"/>
    </row>
    <row r="103" customFormat="false" ht="14.4" hidden="false" customHeight="false" outlineLevel="0" collapsed="false">
      <c r="A103" s="110"/>
      <c r="B103" s="9"/>
      <c r="C103" s="9"/>
      <c r="D103" s="113" t="str">
        <f aca="false">IF(D102="non","Compléter la demande dérogation en cliquant sur ce lien","")</f>
        <v/>
      </c>
      <c r="E103" s="62"/>
      <c r="F103" s="62"/>
      <c r="G103" s="114"/>
    </row>
    <row r="104" customFormat="false" ht="15" hidden="false" customHeight="false" outlineLevel="0" collapsed="false">
      <c r="A104" s="78"/>
      <c r="B104" s="79"/>
      <c r="C104" s="79"/>
      <c r="D104" s="79"/>
      <c r="E104" s="79"/>
      <c r="F104" s="79"/>
      <c r="G104" s="80"/>
    </row>
    <row r="105" customFormat="false" ht="66" hidden="false" customHeight="true" outlineLevel="0" collapsed="false">
      <c r="A105" s="115"/>
      <c r="B105" s="115"/>
      <c r="C105" s="116" t="s">
        <v>52</v>
      </c>
      <c r="D105" s="116"/>
      <c r="E105" s="116"/>
      <c r="F105" s="116"/>
      <c r="G105" s="116"/>
      <c r="H105" s="9"/>
    </row>
    <row r="106" customFormat="false" ht="26.25" hidden="false" customHeight="true" outlineLevel="0" collapsed="false">
      <c r="A106" s="17"/>
      <c r="B106" s="117" t="s">
        <v>53</v>
      </c>
      <c r="C106" s="118" t="str">
        <f aca="false">C11</f>
        <v>MIGLIANO</v>
      </c>
      <c r="D106" s="117" t="s">
        <v>54</v>
      </c>
      <c r="E106" s="118" t="str">
        <f aca="false">C13</f>
        <v>Pierluigi</v>
      </c>
      <c r="F106" s="119"/>
      <c r="G106" s="120"/>
      <c r="H106" s="9"/>
    </row>
    <row r="107" customFormat="false" ht="26.25" hidden="false" customHeight="true" outlineLevel="0" collapsed="false">
      <c r="A107" s="121"/>
      <c r="B107" s="122" t="s">
        <v>55</v>
      </c>
      <c r="C107" s="123" t="str">
        <f aca="false">C41</f>
        <v>CESI Ecole d'Ingénieurs</v>
      </c>
      <c r="D107" s="124"/>
      <c r="E107" s="124"/>
      <c r="F107" s="124"/>
      <c r="G107" s="125"/>
      <c r="H107" s="9"/>
    </row>
    <row r="108" customFormat="false" ht="57" hidden="false" customHeight="true" outlineLevel="0" collapsed="false">
      <c r="A108" s="126" t="s">
        <v>56</v>
      </c>
      <c r="B108" s="126"/>
      <c r="C108" s="126"/>
      <c r="D108" s="126"/>
      <c r="E108" s="127" t="str">
        <f aca="false">VLOOKUP(C107,listes!C33:M35,9,0)</f>
        <v>Cycles ingénieurs / MS / Cycles préparatoires (niveau 1)</v>
      </c>
      <c r="F108" s="128" t="n">
        <f aca="false">VLOOKUP(C107,listes!C33:M35,10,0)</f>
        <v>0</v>
      </c>
      <c r="G108" s="129" t="n">
        <f aca="false">VLOOKUP(C107,listes!C33:M35,11,0)</f>
        <v>0</v>
      </c>
    </row>
    <row r="109" customFormat="false" ht="34.5" hidden="false" customHeight="true" outlineLevel="0" collapsed="false">
      <c r="A109" s="90"/>
      <c r="B109" s="90"/>
      <c r="C109" s="90"/>
      <c r="D109" s="90"/>
      <c r="E109" s="130"/>
      <c r="F109" s="130"/>
      <c r="G109" s="131"/>
      <c r="H109" s="9"/>
    </row>
    <row r="110" customFormat="false" ht="36" hidden="false" customHeight="true" outlineLevel="0" collapsed="false">
      <c r="A110" s="90"/>
      <c r="B110" s="90"/>
      <c r="C110" s="90"/>
      <c r="D110" s="90"/>
      <c r="E110" s="130"/>
      <c r="F110" s="130"/>
      <c r="G110" s="131"/>
      <c r="H110" s="9"/>
    </row>
    <row r="111" customFormat="false" ht="36" hidden="false" customHeight="true" outlineLevel="0" collapsed="false">
      <c r="A111" s="90"/>
      <c r="B111" s="90"/>
      <c r="C111" s="90"/>
      <c r="D111" s="90"/>
      <c r="E111" s="130"/>
      <c r="F111" s="130"/>
      <c r="G111" s="131"/>
    </row>
    <row r="112" customFormat="false" ht="36" hidden="false" customHeight="true" outlineLevel="0" collapsed="false">
      <c r="A112" s="90"/>
      <c r="B112" s="90"/>
      <c r="C112" s="90"/>
      <c r="D112" s="90"/>
      <c r="E112" s="130"/>
      <c r="F112" s="130"/>
      <c r="G112" s="131"/>
    </row>
    <row r="113" customFormat="false" ht="36" hidden="false" customHeight="true" outlineLevel="0" collapsed="false">
      <c r="A113" s="90"/>
      <c r="B113" s="90"/>
      <c r="C113" s="90"/>
      <c r="D113" s="90"/>
      <c r="E113" s="130"/>
      <c r="F113" s="130"/>
      <c r="G113" s="131"/>
    </row>
    <row r="114" customFormat="false" ht="14.4" hidden="false" customHeight="false" outlineLevel="0" collapsed="false">
      <c r="A114" s="132"/>
      <c r="B114" s="8"/>
      <c r="C114" s="8"/>
      <c r="D114" s="8"/>
      <c r="E114" s="8"/>
      <c r="F114" s="8"/>
      <c r="G114" s="133"/>
    </row>
    <row r="115" customFormat="false" ht="14.4" hidden="false" customHeight="false" outlineLevel="0" collapsed="false">
      <c r="A115" s="134" t="s">
        <v>57</v>
      </c>
      <c r="B115" s="134"/>
      <c r="C115" s="135"/>
      <c r="D115" s="71"/>
      <c r="E115" s="56"/>
      <c r="F115" s="56"/>
      <c r="G115" s="14"/>
    </row>
    <row r="116" customFormat="false" ht="14.4" hidden="false" customHeight="false" outlineLevel="0" collapsed="false">
      <c r="A116" s="17"/>
      <c r="B116" s="9"/>
      <c r="C116" s="9"/>
      <c r="D116" s="56"/>
      <c r="E116" s="56"/>
      <c r="F116" s="56"/>
      <c r="G116" s="14"/>
    </row>
    <row r="117" customFormat="false" ht="14.4" hidden="false" customHeight="false" outlineLevel="0" collapsed="false">
      <c r="A117" s="17"/>
      <c r="B117" s="9"/>
      <c r="C117" s="9"/>
      <c r="D117" s="56"/>
      <c r="E117" s="56"/>
      <c r="F117" s="56"/>
      <c r="G117" s="14"/>
    </row>
    <row r="118" customFormat="false" ht="14.4" hidden="false" customHeight="false" outlineLevel="0" collapsed="false">
      <c r="A118" s="17"/>
      <c r="B118" s="9"/>
      <c r="C118" s="9"/>
      <c r="D118" s="9"/>
      <c r="E118" s="9"/>
      <c r="F118" s="9"/>
      <c r="G118" s="14"/>
    </row>
    <row r="119" customFormat="false" ht="14.4" hidden="false" customHeight="false" outlineLevel="0" collapsed="false">
      <c r="A119" s="136" t="s">
        <v>58</v>
      </c>
      <c r="B119" s="137"/>
      <c r="C119" s="138" t="str">
        <f aca="false">C29</f>
        <v>Formateur occasionnel</v>
      </c>
      <c r="D119" s="139"/>
      <c r="E119" s="139"/>
      <c r="F119" s="139"/>
      <c r="G119" s="140"/>
    </row>
    <row r="120" customFormat="false" ht="14.4" hidden="false" customHeight="false" outlineLevel="0" collapsed="false">
      <c r="A120" s="141"/>
      <c r="B120" s="142"/>
      <c r="C120" s="143" t="str">
        <f aca="false">IF(C119="Formateur occasionnel","L'enseignant statut 2 est limité à 29 interventions par an.","")</f>
        <v>L'enseignant statut 2 est limité à 29 interventions par an.</v>
      </c>
      <c r="D120" s="142"/>
      <c r="E120" s="142"/>
      <c r="F120" s="142"/>
      <c r="G120" s="144"/>
    </row>
    <row r="121" customFormat="false" ht="14.4" hidden="false" customHeight="false" outlineLevel="0" collapsed="false">
      <c r="A121" s="17"/>
      <c r="B121" s="9"/>
      <c r="C121" s="9"/>
      <c r="D121" s="9"/>
      <c r="E121" s="9"/>
      <c r="F121" s="9"/>
      <c r="G121" s="14"/>
    </row>
    <row r="122" customFormat="false" ht="17.25" hidden="false" customHeight="true" outlineLevel="0" collapsed="false">
      <c r="A122" s="145" t="s">
        <v>59</v>
      </c>
      <c r="B122" s="145"/>
      <c r="C122" s="145"/>
      <c r="D122" s="145"/>
      <c r="E122" s="145"/>
      <c r="F122" s="145"/>
      <c r="G122" s="145"/>
    </row>
    <row r="123" customFormat="false" ht="208.5" hidden="false" customHeight="true" outlineLevel="0" collapsed="false">
      <c r="A123" s="146"/>
      <c r="B123" s="146"/>
      <c r="C123" s="146"/>
      <c r="D123" s="146"/>
      <c r="E123" s="146"/>
      <c r="F123" s="146"/>
      <c r="G123" s="146"/>
    </row>
    <row r="124" customFormat="false" ht="33" hidden="false" customHeight="true" outlineLevel="0" collapsed="false">
      <c r="A124" s="147" t="s">
        <v>60</v>
      </c>
      <c r="B124" s="147"/>
      <c r="C124" s="49" t="s">
        <v>48</v>
      </c>
      <c r="D124" s="49" t="s">
        <v>26</v>
      </c>
      <c r="E124" s="148" t="s">
        <v>61</v>
      </c>
      <c r="F124" s="9"/>
      <c r="G124" s="14"/>
    </row>
    <row r="125" customFormat="false" ht="14.4" hidden="false" customHeight="false" outlineLevel="0" collapsed="false">
      <c r="A125" s="149" t="s">
        <v>62</v>
      </c>
      <c r="B125" s="8"/>
      <c r="C125" s="98"/>
      <c r="D125" s="150" t="s">
        <v>63</v>
      </c>
      <c r="E125" s="8"/>
      <c r="F125" s="8"/>
      <c r="G125" s="133"/>
    </row>
    <row r="126" customFormat="false" ht="46.5" hidden="false" customHeight="true" outlineLevel="0" collapsed="false">
      <c r="A126" s="17"/>
      <c r="B126" s="9"/>
      <c r="C126" s="9"/>
      <c r="D126" s="151"/>
      <c r="E126" s="9"/>
      <c r="F126" s="9"/>
      <c r="G126" s="14"/>
    </row>
    <row r="127" customFormat="false" ht="46.5" hidden="false" customHeight="true" outlineLevel="0" collapsed="false">
      <c r="A127" s="152" t="str">
        <f aca="false">VLOOKUP(C41,listes!C33:O35,12,0)</f>
        <v>Nom et visa de l'EF / EC qui a agréé:</v>
      </c>
      <c r="B127" s="152"/>
      <c r="C127" s="153"/>
      <c r="D127" s="154" t="str">
        <f aca="false">VLOOKUP(C41,listes!C33:O35,13,0)</f>
        <v>Dossier validé par le DR ou RD par délégation du directeur CESI Ecole d'ingénieurs:</v>
      </c>
      <c r="E127" s="154"/>
      <c r="F127" s="155"/>
      <c r="G127" s="156"/>
    </row>
    <row r="128" customFormat="false" ht="30.75" hidden="false" customHeight="true" outlineLevel="0" collapsed="false">
      <c r="A128" s="157" t="s">
        <v>64</v>
      </c>
      <c r="B128" s="157"/>
      <c r="C128" s="157"/>
      <c r="D128" s="157"/>
      <c r="E128" s="157"/>
      <c r="F128" s="157"/>
      <c r="G128" s="157"/>
    </row>
  </sheetData>
  <mergeCells count="91">
    <mergeCell ref="D1:E1"/>
    <mergeCell ref="D2:E2"/>
    <mergeCell ref="A3:G3"/>
    <mergeCell ref="A7:G7"/>
    <mergeCell ref="C11:D11"/>
    <mergeCell ref="C13:D13"/>
    <mergeCell ref="C15:D15"/>
    <mergeCell ref="E17:F17"/>
    <mergeCell ref="E19:F19"/>
    <mergeCell ref="E21:F21"/>
    <mergeCell ref="C23:F23"/>
    <mergeCell ref="C25:F25"/>
    <mergeCell ref="C29:D29"/>
    <mergeCell ref="E29:G29"/>
    <mergeCell ref="E31:F31"/>
    <mergeCell ref="C35:F35"/>
    <mergeCell ref="E37:F37"/>
    <mergeCell ref="C41:F41"/>
    <mergeCell ref="B47:D47"/>
    <mergeCell ref="D49:E49"/>
    <mergeCell ref="D51:E51"/>
    <mergeCell ref="D53:E53"/>
    <mergeCell ref="D55:E55"/>
    <mergeCell ref="D57:E57"/>
    <mergeCell ref="D59:E59"/>
    <mergeCell ref="A61:G61"/>
    <mergeCell ref="A62:G62"/>
    <mergeCell ref="J62:L62"/>
    <mergeCell ref="A66:G71"/>
    <mergeCell ref="L66:R67"/>
    <mergeCell ref="A73:G73"/>
    <mergeCell ref="A74:C74"/>
    <mergeCell ref="D74:E74"/>
    <mergeCell ref="F74:G74"/>
    <mergeCell ref="A75:C75"/>
    <mergeCell ref="D75:E75"/>
    <mergeCell ref="F75:G75"/>
    <mergeCell ref="A76:C76"/>
    <mergeCell ref="D76:E76"/>
    <mergeCell ref="F76:G76"/>
    <mergeCell ref="A77:C77"/>
    <mergeCell ref="D77:E77"/>
    <mergeCell ref="F77:G77"/>
    <mergeCell ref="A78:C78"/>
    <mergeCell ref="D78:E78"/>
    <mergeCell ref="F78:G78"/>
    <mergeCell ref="A80:G80"/>
    <mergeCell ref="A81:C81"/>
    <mergeCell ref="D81:E81"/>
    <mergeCell ref="F81:G81"/>
    <mergeCell ref="A82:C82"/>
    <mergeCell ref="D82:E82"/>
    <mergeCell ref="F82:G82"/>
    <mergeCell ref="A83:C83"/>
    <mergeCell ref="D83:E83"/>
    <mergeCell ref="F83:G83"/>
    <mergeCell ref="A84:C84"/>
    <mergeCell ref="D84:E84"/>
    <mergeCell ref="F84:G84"/>
    <mergeCell ref="A85:C85"/>
    <mergeCell ref="D85:E85"/>
    <mergeCell ref="F85:G85"/>
    <mergeCell ref="A87:G87"/>
    <mergeCell ref="A88:C88"/>
    <mergeCell ref="D88:G88"/>
    <mergeCell ref="A89:C89"/>
    <mergeCell ref="D89:G89"/>
    <mergeCell ref="A90:C90"/>
    <mergeCell ref="D90:G90"/>
    <mergeCell ref="A91:C91"/>
    <mergeCell ref="D91:G91"/>
    <mergeCell ref="A92:C92"/>
    <mergeCell ref="D92:G92"/>
    <mergeCell ref="A96:G96"/>
    <mergeCell ref="A102:C102"/>
    <mergeCell ref="E102:F102"/>
    <mergeCell ref="A105:B105"/>
    <mergeCell ref="C105:G105"/>
    <mergeCell ref="A108:D108"/>
    <mergeCell ref="A109:D109"/>
    <mergeCell ref="A110:D110"/>
    <mergeCell ref="A111:D111"/>
    <mergeCell ref="A112:D112"/>
    <mergeCell ref="A113:D113"/>
    <mergeCell ref="A115:B115"/>
    <mergeCell ref="A122:G122"/>
    <mergeCell ref="A123:G123"/>
    <mergeCell ref="A124:B124"/>
    <mergeCell ref="A127:B127"/>
    <mergeCell ref="D127:E127"/>
    <mergeCell ref="A128:G128"/>
  </mergeCells>
  <conditionalFormatting sqref="C36 C38">
    <cfRule type="cellIs" priority="2" operator="notEqual" aboveAverage="0" equalAverage="0" bottom="0" percent="0" rank="0" text="" dxfId="0">
      <formula>""</formula>
    </cfRule>
  </conditionalFormatting>
  <conditionalFormatting sqref="C31">
    <cfRule type="expression" priority="3" aboveAverage="0" equalAverage="0" bottom="0" percent="0" rank="0" text="" dxfId="0">
      <formula>$B$31&lt;&gt;""</formula>
    </cfRule>
  </conditionalFormatting>
  <conditionalFormatting sqref="E31">
    <cfRule type="expression" priority="4" aboveAverage="0" equalAverage="0" bottom="0" percent="0" rank="0" text="" dxfId="0">
      <formula>D31&lt;&gt;""</formula>
    </cfRule>
  </conditionalFormatting>
  <conditionalFormatting sqref="C33">
    <cfRule type="expression" priority="5" aboveAverage="0" equalAverage="0" bottom="0" percent="0" rank="0" text="" dxfId="0">
      <formula>B33&lt;&gt;""</formula>
    </cfRule>
  </conditionalFormatting>
  <conditionalFormatting sqref="C35">
    <cfRule type="expression" priority="6" aboveAverage="0" equalAverage="0" bottom="0" percent="0" rank="0" text="" dxfId="0">
      <formula>B35&lt;&gt;""</formula>
    </cfRule>
  </conditionalFormatting>
  <conditionalFormatting sqref="C37">
    <cfRule type="expression" priority="7" aboveAverage="0" equalAverage="0" bottom="0" percent="0" rank="0" text="" dxfId="1">
      <formula>B37&lt;&gt;""</formula>
    </cfRule>
  </conditionalFormatting>
  <conditionalFormatting sqref="E37">
    <cfRule type="expression" priority="8" aboveAverage="0" equalAverage="0" bottom="0" percent="0" rank="0" text="" dxfId="1">
      <formula>D37&lt;&gt;""</formula>
    </cfRule>
  </conditionalFormatting>
  <conditionalFormatting sqref="B44">
    <cfRule type="expression" priority="9" aboveAverage="0" equalAverage="0" bottom="0" percent="0" rank="0" text="" dxfId="2">
      <formula>$A$44&lt;&gt;""</formula>
    </cfRule>
  </conditionalFormatting>
  <conditionalFormatting sqref="D44">
    <cfRule type="expression" priority="10" aboveAverage="0" equalAverage="0" bottom="0" percent="0" rank="0" text="" dxfId="2">
      <formula>$C$44&lt;&gt;""</formula>
    </cfRule>
  </conditionalFormatting>
  <conditionalFormatting sqref="G44">
    <cfRule type="expression" priority="11" aboveAverage="0" equalAverage="0" bottom="0" percent="0" rank="0" text="" dxfId="2">
      <formula>$F$44&lt;&gt;""</formula>
    </cfRule>
  </conditionalFormatting>
  <conditionalFormatting sqref="D53:E53">
    <cfRule type="expression" priority="12" aboveAverage="0" equalAverage="0" bottom="0" percent="0" rank="0" text="" dxfId="2">
      <formula>$C$53&lt;&gt;0</formula>
    </cfRule>
  </conditionalFormatting>
  <conditionalFormatting sqref="D55:E55">
    <cfRule type="expression" priority="13" aboveAverage="0" equalAverage="0" bottom="0" percent="0" rank="0" text="" dxfId="2">
      <formula>$C$53&lt;&gt;0</formula>
    </cfRule>
  </conditionalFormatting>
  <conditionalFormatting sqref="D57:E57">
    <cfRule type="expression" priority="14" aboveAverage="0" equalAverage="0" bottom="0" percent="0" rank="0" text="" dxfId="3">
      <formula>$C$53&lt;&gt;0</formula>
    </cfRule>
  </conditionalFormatting>
  <conditionalFormatting sqref="D59">
    <cfRule type="expression" priority="15" aboveAverage="0" equalAverage="0" bottom="0" percent="0" rank="0" text="" dxfId="3">
      <formula>$C$53&lt;&gt;0</formula>
    </cfRule>
  </conditionalFormatting>
  <conditionalFormatting sqref="E47">
    <cfRule type="expression" priority="16" aboveAverage="0" equalAverage="0" bottom="0" percent="0" rank="0" text="" dxfId="4">
      <formula>$B$47&lt;&gt;0</formula>
    </cfRule>
  </conditionalFormatting>
  <conditionalFormatting sqref="D49">
    <cfRule type="expression" priority="17" aboveAverage="0" equalAverage="0" bottom="0" percent="0" rank="0" text="" dxfId="4">
      <formula>$C$49&lt;&gt;0</formula>
    </cfRule>
  </conditionalFormatting>
  <conditionalFormatting sqref="D51">
    <cfRule type="expression" priority="18" aboveAverage="0" equalAverage="0" bottom="0" percent="0" rank="0" text="" dxfId="4">
      <formula>$C$51&lt;&gt;0</formula>
    </cfRule>
  </conditionalFormatting>
  <dataValidations count="12">
    <dataValidation allowBlank="true" operator="between" showDropDown="false" showErrorMessage="true" showInputMessage="true" sqref="D44" type="list">
      <formula1>fonction</formula1>
      <formula2>0</formula2>
    </dataValidation>
    <dataValidation allowBlank="true" operator="between" showDropDown="false" showErrorMessage="true" showInputMessage="true" sqref="C29" type="list">
      <formula1>statut</formula1>
      <formula2>0</formula2>
    </dataValidation>
    <dataValidation allowBlank="true" operator="between" showDropDown="false" showErrorMessage="true" showInputMessage="true" sqref="D51:E51" type="list">
      <formula1>INDIRECT($D$49)</formula1>
      <formula2>0</formula2>
    </dataValidation>
    <dataValidation allowBlank="true" operator="between" showDropDown="false" showErrorMessage="true" showInputMessage="true" sqref="D49:E49" type="list">
      <formula1>recherche__enseignement</formula1>
      <formula2>0</formula2>
    </dataValidation>
    <dataValidation allowBlank="true" operator="between" showDropDown="false" showErrorMessage="true" showInputMessage="true" sqref="B44" type="list">
      <formula1>listes!$H$3:$H$7</formula1>
      <formula2>0</formula2>
    </dataValidation>
    <dataValidation allowBlank="true" operator="between" showDropDown="false" showErrorMessage="true" showInputMessage="true" sqref="G44 E47 B94 D102" type="list">
      <formula1>listes!$A$3:$A$4</formula1>
      <formula2>0</formula2>
    </dataValidation>
    <dataValidation allowBlank="true" operator="between" showDropDown="false" showErrorMessage="true" showInputMessage="true" sqref="C119" type="list">
      <formula1>listes!$B$3:$B$6</formula1>
      <formula2>0</formula2>
    </dataValidation>
    <dataValidation allowBlank="true" operator="between" showDropDown="false" showErrorMessage="true" showInputMessage="true" sqref="C41" type="list">
      <formula1>listes!$E$3:$E$6</formula1>
      <formula2>0</formula2>
    </dataValidation>
    <dataValidation allowBlank="false" operator="between" showDropDown="false" showErrorMessage="true" showInputMessage="true" sqref="E109:E113" type="list">
      <formula1>listes!$F$37:$F$38</formula1>
      <formula2>0</formula2>
    </dataValidation>
    <dataValidation allowBlank="false" operator="between" showDropDown="false" showErrorMessage="true" showInputMessage="true" sqref="F109:F113" type="list">
      <formula1>listes!$G$37:$G$38</formula1>
      <formula2>0</formula2>
    </dataValidation>
    <dataValidation allowBlank="false" operator="between" showDropDown="false" showErrorMessage="true" showInputMessage="true" sqref="G109:G113" type="list">
      <formula1>listes!$H$37:$H$38</formula1>
      <formula2>0</formula2>
    </dataValidation>
    <dataValidation allowBlank="true" operator="between" showDropDown="false" showErrorMessage="true" showInputMessage="true" sqref="D115" type="list">
      <formula1>listes!$J$3:$J$4</formula1>
      <formula2>0</formula2>
    </dataValidation>
  </dataValidations>
  <hyperlinks>
    <hyperlink ref="C23" r:id="rId1" display="pierluigimigliano@gmail.com"/>
  </hyperlinks>
  <printOptions headings="false" gridLines="false" gridLinesSet="true" horizontalCentered="true" verticalCentered="false"/>
  <pageMargins left="0.236111111111111" right="0.236111111111111" top="0.747916666666667" bottom="0.748611111111111" header="0.511805555555555" footer="0.315277777777778"/>
  <pageSetup paperSize="9" scale="68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&amp;RREA 04 Doc 01a - Dossier formateur - 22.06.20 - 13</oddFooter>
  </headerFooter>
  <rowBreaks count="2" manualBreakCount="2">
    <brk id="64" man="true" max="16383" min="0"/>
    <brk id="104" man="true" max="16383" min="0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H19"/>
  <sheetViews>
    <sheetView showFormulas="false" showGridLines="false" showRowColHeaders="true" showZeros="false" rightToLeft="false" tabSelected="false" showOutlineSymbols="true" defaultGridColor="true" view="pageBreakPreview" topLeftCell="A13" colorId="64" zoomScale="110" zoomScaleNormal="100" zoomScalePageLayoutView="110" workbookViewId="0">
      <selection pane="topLeft" activeCell="A8" activeCellId="0" sqref="A8"/>
    </sheetView>
  </sheetViews>
  <sheetFormatPr defaultRowHeight="14.4" zeroHeight="false" outlineLevelRow="0" outlineLevelCol="0"/>
  <cols>
    <col collapsed="false" customWidth="true" hidden="false" outlineLevel="0" max="1" min="1" style="1" width="15.33"/>
    <col collapsed="false" customWidth="false" hidden="false" outlineLevel="0" max="3" min="2" style="1" width="11.44"/>
    <col collapsed="false" customWidth="true" hidden="false" outlineLevel="0" max="8" min="4" style="1" width="12.11"/>
    <col collapsed="false" customWidth="false" hidden="false" outlineLevel="0" max="1025" min="9" style="1" width="11.44"/>
  </cols>
  <sheetData>
    <row r="1" customFormat="false" ht="58.5" hidden="false" customHeight="true" outlineLevel="0" collapsed="false">
      <c r="A1" s="158"/>
      <c r="B1" s="159"/>
      <c r="C1" s="160" t="s">
        <v>65</v>
      </c>
      <c r="D1" s="160"/>
      <c r="E1" s="160"/>
      <c r="F1" s="160"/>
      <c r="G1" s="160"/>
      <c r="H1" s="160"/>
    </row>
    <row r="2" customFormat="false" ht="14.4" hidden="false" customHeight="false" outlineLevel="0" collapsed="false">
      <c r="A2" s="17"/>
      <c r="B2" s="9"/>
      <c r="C2" s="9"/>
      <c r="D2" s="9"/>
      <c r="E2" s="9"/>
      <c r="F2" s="9"/>
      <c r="G2" s="9"/>
      <c r="H2" s="14"/>
    </row>
    <row r="3" customFormat="false" ht="14.4" hidden="false" customHeight="false" outlineLevel="0" collapsed="false">
      <c r="A3" s="161" t="s">
        <v>66</v>
      </c>
      <c r="B3" s="161"/>
      <c r="C3" s="161"/>
      <c r="D3" s="162" t="str">
        <f aca="false">'Dossier formateur externe'!C11</f>
        <v>MIGLIANO</v>
      </c>
      <c r="E3" s="162"/>
      <c r="F3" s="162" t="str">
        <f aca="false">'Dossier formateur externe'!C13</f>
        <v>Pierluigi</v>
      </c>
      <c r="G3" s="162"/>
      <c r="H3" s="14"/>
    </row>
    <row r="4" customFormat="false" ht="14.4" hidden="false" customHeight="false" outlineLevel="0" collapsed="false">
      <c r="A4" s="17"/>
      <c r="B4" s="9"/>
      <c r="C4" s="9"/>
      <c r="D4" s="9"/>
      <c r="E4" s="9"/>
      <c r="F4" s="9"/>
      <c r="G4" s="9"/>
      <c r="H4" s="14"/>
    </row>
    <row r="5" customFormat="false" ht="48" hidden="false" customHeight="true" outlineLevel="0" collapsed="false">
      <c r="A5" s="163" t="s">
        <v>67</v>
      </c>
      <c r="B5" s="163"/>
      <c r="C5" s="163"/>
      <c r="D5" s="163"/>
      <c r="E5" s="163"/>
      <c r="F5" s="163"/>
      <c r="G5" s="163"/>
      <c r="H5" s="163"/>
    </row>
    <row r="6" customFormat="false" ht="14.4" hidden="false" customHeight="false" outlineLevel="0" collapsed="false">
      <c r="A6" s="17"/>
      <c r="B6" s="9"/>
      <c r="C6" s="9"/>
      <c r="D6" s="9"/>
      <c r="E6" s="9"/>
      <c r="F6" s="9"/>
      <c r="G6" s="9"/>
      <c r="H6" s="14"/>
    </row>
    <row r="7" customFormat="false" ht="21" hidden="false" customHeight="true" outlineLevel="0" collapsed="false">
      <c r="A7" s="164" t="s">
        <v>68</v>
      </c>
      <c r="B7" s="164"/>
      <c r="C7" s="165"/>
      <c r="D7" s="165"/>
      <c r="E7" s="165"/>
      <c r="F7" s="165"/>
      <c r="G7" s="165"/>
      <c r="H7" s="165"/>
    </row>
    <row r="8" customFormat="false" ht="150" hidden="false" customHeight="true" outlineLevel="0" collapsed="false">
      <c r="A8" s="166" t="s">
        <v>69</v>
      </c>
      <c r="B8" s="166"/>
      <c r="C8" s="166"/>
      <c r="D8" s="166"/>
      <c r="E8" s="166"/>
      <c r="F8" s="166"/>
      <c r="G8" s="166"/>
      <c r="H8" s="166"/>
    </row>
    <row r="9" customFormat="false" ht="36" hidden="false" customHeight="true" outlineLevel="0" collapsed="false">
      <c r="A9" s="167" t="s">
        <v>70</v>
      </c>
      <c r="B9" s="168"/>
      <c r="C9" s="169"/>
      <c r="D9" s="170" t="s">
        <v>71</v>
      </c>
      <c r="E9" s="169"/>
      <c r="F9" s="171"/>
      <c r="G9" s="171"/>
      <c r="H9" s="172"/>
    </row>
    <row r="10" customFormat="false" ht="14.4" hidden="false" customHeight="false" outlineLevel="0" collapsed="false">
      <c r="A10" s="17"/>
      <c r="B10" s="9"/>
      <c r="C10" s="9"/>
      <c r="D10" s="9"/>
      <c r="E10" s="9"/>
      <c r="F10" s="9"/>
      <c r="G10" s="9"/>
      <c r="H10" s="14"/>
    </row>
    <row r="11" customFormat="false" ht="17.25" hidden="false" customHeight="true" outlineLevel="0" collapsed="false">
      <c r="A11" s="173" t="s">
        <v>72</v>
      </c>
      <c r="B11" s="173"/>
      <c r="C11" s="173"/>
      <c r="D11" s="173"/>
      <c r="E11" s="173"/>
      <c r="F11" s="173"/>
      <c r="G11" s="173"/>
      <c r="H11" s="173"/>
    </row>
    <row r="12" customFormat="false" ht="14.4" hidden="false" customHeight="false" outlineLevel="0" collapsed="false">
      <c r="A12" s="17"/>
      <c r="B12" s="9"/>
      <c r="C12" s="9"/>
      <c r="D12" s="9"/>
      <c r="E12" s="9"/>
      <c r="F12" s="9"/>
      <c r="G12" s="9"/>
      <c r="H12" s="14"/>
    </row>
    <row r="13" customFormat="false" ht="14.4" hidden="false" customHeight="false" outlineLevel="0" collapsed="false">
      <c r="A13" s="174" t="s">
        <v>73</v>
      </c>
      <c r="B13" s="51"/>
      <c r="C13" s="9" t="s">
        <v>74</v>
      </c>
      <c r="D13" s="9"/>
      <c r="E13" s="9"/>
      <c r="F13" s="9"/>
      <c r="G13" s="9"/>
      <c r="H13" s="14"/>
    </row>
    <row r="14" customFormat="false" ht="14.4" hidden="false" customHeight="false" outlineLevel="0" collapsed="false">
      <c r="A14" s="17"/>
      <c r="B14" s="9"/>
      <c r="C14" s="9"/>
      <c r="D14" s="9"/>
      <c r="E14" s="9"/>
      <c r="F14" s="9"/>
      <c r="G14" s="9"/>
      <c r="H14" s="14"/>
    </row>
    <row r="15" customFormat="false" ht="14.4" hidden="false" customHeight="false" outlineLevel="0" collapsed="false">
      <c r="A15" s="17"/>
      <c r="B15" s="9"/>
      <c r="C15" s="9"/>
      <c r="D15" s="9"/>
      <c r="E15" s="9"/>
      <c r="F15" s="9"/>
      <c r="G15" s="9"/>
      <c r="H15" s="14"/>
    </row>
    <row r="16" customFormat="false" ht="14.4" hidden="false" customHeight="false" outlineLevel="0" collapsed="false">
      <c r="A16" s="175" t="s">
        <v>75</v>
      </c>
      <c r="B16" s="51"/>
      <c r="C16" s="9"/>
      <c r="D16" s="9"/>
      <c r="E16" s="9"/>
      <c r="F16" s="9"/>
      <c r="G16" s="9"/>
      <c r="H16" s="14"/>
    </row>
    <row r="17" customFormat="false" ht="14.4" hidden="false" customHeight="false" outlineLevel="0" collapsed="false">
      <c r="A17" s="17"/>
      <c r="B17" s="9"/>
      <c r="C17" s="9"/>
      <c r="D17" s="9"/>
      <c r="E17" s="9"/>
      <c r="F17" s="9"/>
      <c r="G17" s="9"/>
      <c r="H17" s="14"/>
    </row>
    <row r="18" customFormat="false" ht="122.25" hidden="false" customHeight="true" outlineLevel="0" collapsed="false">
      <c r="A18" s="176" t="s">
        <v>59</v>
      </c>
      <c r="B18" s="176"/>
      <c r="C18" s="176"/>
      <c r="D18" s="176"/>
      <c r="E18" s="176"/>
      <c r="F18" s="176"/>
      <c r="G18" s="176"/>
      <c r="H18" s="176"/>
    </row>
    <row r="19" customFormat="false" ht="45.75" hidden="false" customHeight="true" outlineLevel="0" collapsed="false">
      <c r="A19" s="177" t="s">
        <v>70</v>
      </c>
      <c r="B19" s="178"/>
      <c r="C19" s="179"/>
      <c r="D19" s="180" t="s">
        <v>76</v>
      </c>
      <c r="E19" s="181"/>
      <c r="F19" s="182"/>
      <c r="G19" s="182"/>
      <c r="H19" s="183"/>
    </row>
  </sheetData>
  <mergeCells count="10">
    <mergeCell ref="C1:H1"/>
    <mergeCell ref="A3:C3"/>
    <mergeCell ref="D3:E3"/>
    <mergeCell ref="F3:G3"/>
    <mergeCell ref="A5:H5"/>
    <mergeCell ref="A7:B7"/>
    <mergeCell ref="C7:H7"/>
    <mergeCell ref="A8:H8"/>
    <mergeCell ref="A11:H11"/>
    <mergeCell ref="A18:H18"/>
  </mergeCells>
  <printOptions headings="false" gridLines="false" gridLinesSet="true" horizontalCentered="false" verticalCentered="false"/>
  <pageMargins left="0.708333333333333" right="0.708333333333333" top="0.747916666666667" bottom="0.748611111111111" header="0.511805555555555" footer="0.315277777777778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&amp;RREA 04 Doc 01a - Dossier formateur - 22.06.20 - 13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8"/>
  <sheetViews>
    <sheetView showFormulas="false" showGridLines="true" showRowColHeaders="true" showZeros="false" rightToLeft="false" tabSelected="false" showOutlineSymbols="true" defaultGridColor="true" view="pageBreakPreview" topLeftCell="H15" colorId="64" zoomScale="100" zoomScaleNormal="80" zoomScalePageLayoutView="100" workbookViewId="0">
      <selection pane="topLeft" activeCell="G7" activeCellId="0" sqref="G7"/>
    </sheetView>
  </sheetViews>
  <sheetFormatPr defaultRowHeight="14.4" zeroHeight="false" outlineLevelRow="0" outlineLevelCol="0"/>
  <cols>
    <col collapsed="false" customWidth="true" hidden="false" outlineLevel="0" max="1" min="1" style="0" width="10.43"/>
    <col collapsed="false" customWidth="true" hidden="false" outlineLevel="0" max="2" min="2" style="0" width="31.33"/>
    <col collapsed="false" customWidth="true" hidden="false" outlineLevel="0" max="3" min="3" style="0" width="32.11"/>
    <col collapsed="false" customWidth="true" hidden="false" outlineLevel="0" max="4" min="4" style="0" width="10.55"/>
    <col collapsed="false" customWidth="true" hidden="false" outlineLevel="0" max="5" min="5" style="0" width="31"/>
    <col collapsed="false" customWidth="true" hidden="false" outlineLevel="0" max="6" min="6" style="0" width="25.45"/>
    <col collapsed="false" customWidth="true" hidden="false" outlineLevel="0" max="7" min="7" style="0" width="24.89"/>
    <col collapsed="false" customWidth="true" hidden="false" outlineLevel="0" max="8" min="8" style="0" width="29.45"/>
    <col collapsed="false" customWidth="true" hidden="false" outlineLevel="0" max="9" min="9" style="0" width="10.43"/>
    <col collapsed="false" customWidth="true" hidden="false" outlineLevel="0" max="10" min="10" style="0" width="20.55"/>
    <col collapsed="false" customWidth="true" hidden="false" outlineLevel="0" max="11" min="11" style="0" width="16.89"/>
    <col collapsed="false" customWidth="true" hidden="false" outlineLevel="0" max="12" min="12" style="0" width="18.67"/>
    <col collapsed="false" customWidth="true" hidden="false" outlineLevel="0" max="13" min="13" style="0" width="10.43"/>
    <col collapsed="false" customWidth="true" hidden="false" outlineLevel="0" max="14" min="14" style="0" width="27.66"/>
    <col collapsed="false" customWidth="true" hidden="false" outlineLevel="0" max="15" min="15" style="0" width="26.89"/>
    <col collapsed="false" customWidth="true" hidden="false" outlineLevel="0" max="1025" min="16" style="0" width="10.43"/>
  </cols>
  <sheetData>
    <row r="1" customFormat="false" ht="14.4" hidden="false" customHeight="false" outlineLevel="0" collapsed="false">
      <c r="A1" s="184"/>
      <c r="B1" s="184" t="s">
        <v>77</v>
      </c>
      <c r="C1" s="0" t="s">
        <v>78</v>
      </c>
      <c r="D1" s="184"/>
      <c r="E1" s="184" t="s">
        <v>79</v>
      </c>
      <c r="F1" s="184" t="s">
        <v>80</v>
      </c>
      <c r="G1" s="184" t="s">
        <v>81</v>
      </c>
      <c r="H1" s="184" t="s">
        <v>82</v>
      </c>
      <c r="I1" s="184" t="s">
        <v>83</v>
      </c>
      <c r="J1" s="185"/>
      <c r="K1" s="186" t="s">
        <v>84</v>
      </c>
      <c r="L1" s="187" t="s">
        <v>85</v>
      </c>
      <c r="M1" s="188"/>
      <c r="N1" s="187"/>
    </row>
    <row r="2" customFormat="false" ht="14.4" hidden="false" customHeight="false" outlineLevel="0" collapsed="false">
      <c r="A2" s="184"/>
      <c r="B2" s="184"/>
      <c r="C2" s="184"/>
      <c r="D2" s="184"/>
      <c r="E2" s="184"/>
      <c r="F2" s="184"/>
      <c r="G2" s="184"/>
      <c r="H2" s="184"/>
      <c r="I2" s="184"/>
      <c r="J2" s="185"/>
      <c r="K2" s="186"/>
      <c r="L2" s="189"/>
      <c r="M2" s="185"/>
      <c r="N2" s="185"/>
    </row>
    <row r="3" customFormat="false" ht="57.6" hidden="false" customHeight="false" outlineLevel="0" collapsed="false">
      <c r="A3" s="185" t="s">
        <v>48</v>
      </c>
      <c r="B3" s="185" t="s">
        <v>86</v>
      </c>
      <c r="C3" s="189" t="s">
        <v>87</v>
      </c>
      <c r="D3" s="185"/>
      <c r="E3" s="185" t="s">
        <v>25</v>
      </c>
      <c r="F3" s="190" t="s">
        <v>88</v>
      </c>
      <c r="G3" s="189" t="s">
        <v>89</v>
      </c>
      <c r="H3" s="185" t="s">
        <v>90</v>
      </c>
      <c r="I3" s="190" t="s">
        <v>91</v>
      </c>
      <c r="J3" s="191" t="s">
        <v>92</v>
      </c>
      <c r="K3" s="189" t="s">
        <v>93</v>
      </c>
      <c r="L3" s="189" t="s">
        <v>94</v>
      </c>
      <c r="M3" s="192" t="s">
        <v>95</v>
      </c>
      <c r="N3" s="189"/>
    </row>
    <row r="4" customFormat="false" ht="43.2" hidden="false" customHeight="false" outlineLevel="0" collapsed="false">
      <c r="A4" s="185" t="s">
        <v>26</v>
      </c>
      <c r="B4" s="185" t="s">
        <v>22</v>
      </c>
      <c r="C4" s="189" t="s">
        <v>27</v>
      </c>
      <c r="D4" s="185"/>
      <c r="E4" s="185" t="s">
        <v>96</v>
      </c>
      <c r="F4" s="190" t="s">
        <v>97</v>
      </c>
      <c r="G4" s="189" t="s">
        <v>98</v>
      </c>
      <c r="H4" s="185" t="s">
        <v>99</v>
      </c>
      <c r="I4" s="190" t="s">
        <v>100</v>
      </c>
      <c r="J4" s="191" t="s">
        <v>101</v>
      </c>
      <c r="K4" s="189" t="s">
        <v>102</v>
      </c>
      <c r="L4" s="189" t="s">
        <v>103</v>
      </c>
      <c r="M4" s="193" t="s">
        <v>104</v>
      </c>
      <c r="N4" s="189"/>
    </row>
    <row r="5" customFormat="false" ht="28.8" hidden="false" customHeight="false" outlineLevel="0" collapsed="false">
      <c r="A5" s="185"/>
      <c r="B5" s="185" t="s">
        <v>105</v>
      </c>
      <c r="C5" s="185" t="s">
        <v>85</v>
      </c>
      <c r="D5" s="185"/>
      <c r="E5" s="185" t="s">
        <v>106</v>
      </c>
      <c r="F5" s="190" t="s">
        <v>107</v>
      </c>
      <c r="G5" s="189" t="s">
        <v>108</v>
      </c>
      <c r="H5" s="194" t="s">
        <v>109</v>
      </c>
      <c r="I5" s="190" t="s">
        <v>109</v>
      </c>
      <c r="J5" s="191" t="s">
        <v>110</v>
      </c>
      <c r="K5" s="189"/>
      <c r="L5" s="189" t="s">
        <v>111</v>
      </c>
      <c r="M5" s="195" t="s">
        <v>112</v>
      </c>
    </row>
    <row r="6" customFormat="false" ht="28.8" hidden="false" customHeight="false" outlineLevel="0" collapsed="false">
      <c r="A6" s="185"/>
      <c r="B6" s="185" t="s">
        <v>113</v>
      </c>
      <c r="C6" s="185"/>
      <c r="D6" s="185"/>
      <c r="E6" s="185"/>
      <c r="F6" s="190" t="s">
        <v>114</v>
      </c>
      <c r="G6" s="189" t="s">
        <v>115</v>
      </c>
      <c r="H6" s="194" t="s">
        <v>116</v>
      </c>
      <c r="I6" s="189"/>
      <c r="J6" s="196"/>
      <c r="K6" s="189"/>
      <c r="L6" s="189" t="s">
        <v>117</v>
      </c>
      <c r="M6" s="195" t="s">
        <v>118</v>
      </c>
    </row>
    <row r="7" customFormat="false" ht="51" hidden="false" customHeight="true" outlineLevel="0" collapsed="false">
      <c r="A7" s="185"/>
      <c r="B7" s="189"/>
      <c r="C7" s="185"/>
      <c r="D7" s="185"/>
      <c r="E7" s="185"/>
      <c r="F7" s="190" t="s">
        <v>119</v>
      </c>
      <c r="G7" s="189" t="s">
        <v>120</v>
      </c>
      <c r="H7" s="194" t="s">
        <v>121</v>
      </c>
      <c r="I7" s="189"/>
      <c r="J7" s="196"/>
      <c r="K7" s="189"/>
      <c r="L7" s="189"/>
    </row>
    <row r="8" customFormat="false" ht="14.4" hidden="false" customHeight="false" outlineLevel="0" collapsed="false">
      <c r="A8" s="185"/>
      <c r="B8" s="185"/>
      <c r="C8" s="185"/>
      <c r="D8" s="185"/>
      <c r="E8" s="185"/>
      <c r="F8" s="190" t="s">
        <v>122</v>
      </c>
      <c r="G8" s="189" t="s">
        <v>123</v>
      </c>
      <c r="H8" s="185"/>
      <c r="I8" s="189"/>
      <c r="J8" s="196"/>
      <c r="K8" s="189"/>
      <c r="L8" s="189"/>
    </row>
    <row r="9" customFormat="false" ht="14.4" hidden="false" customHeight="false" outlineLevel="0" collapsed="false">
      <c r="A9" s="185"/>
      <c r="B9" s="185"/>
      <c r="C9" s="185"/>
      <c r="D9" s="185"/>
      <c r="E9" s="185"/>
      <c r="F9" s="190" t="s">
        <v>124</v>
      </c>
      <c r="G9" s="189" t="s">
        <v>125</v>
      </c>
      <c r="H9" s="185"/>
      <c r="I9" s="185"/>
      <c r="J9" s="196"/>
      <c r="K9" s="189"/>
      <c r="L9" s="189"/>
    </row>
    <row r="12" customFormat="false" ht="14.4" hidden="false" customHeight="false" outlineLevel="0" collapsed="false">
      <c r="C12" s="197"/>
    </row>
    <row r="13" customFormat="false" ht="14.4" hidden="false" customHeight="false" outlineLevel="0" collapsed="false">
      <c r="J13" s="185"/>
      <c r="K13" s="198" t="s">
        <v>126</v>
      </c>
      <c r="L13" s="198" t="s">
        <v>127</v>
      </c>
    </row>
    <row r="14" customFormat="false" ht="14.4" hidden="false" customHeight="true" outlineLevel="0" collapsed="false">
      <c r="B14" s="185" t="s">
        <v>128</v>
      </c>
      <c r="C14" s="199" t="s">
        <v>129</v>
      </c>
      <c r="D14" s="199"/>
      <c r="E14" s="199" t="s">
        <v>88</v>
      </c>
      <c r="F14" s="199" t="s">
        <v>130</v>
      </c>
      <c r="G14" s="199"/>
      <c r="H14" s="199"/>
      <c r="J14" s="200" t="s">
        <v>80</v>
      </c>
      <c r="K14" s="198" t="s">
        <v>131</v>
      </c>
      <c r="L14" s="198" t="s">
        <v>132</v>
      </c>
    </row>
    <row r="15" customFormat="false" ht="28.8" hidden="false" customHeight="true" outlineLevel="0" collapsed="false">
      <c r="B15" s="189" t="s">
        <v>133</v>
      </c>
      <c r="C15" s="199"/>
      <c r="D15" s="199"/>
      <c r="E15" s="199" t="s">
        <v>97</v>
      </c>
      <c r="F15" s="199" t="s">
        <v>134</v>
      </c>
      <c r="G15" s="199"/>
      <c r="H15" s="199"/>
      <c r="J15" s="200" t="s">
        <v>27</v>
      </c>
      <c r="K15" s="198" t="s">
        <v>135</v>
      </c>
      <c r="L15" s="198" t="s">
        <v>136</v>
      </c>
    </row>
    <row r="16" customFormat="false" ht="57.6" hidden="false" customHeight="true" outlineLevel="0" collapsed="false">
      <c r="B16" s="189" t="s">
        <v>137</v>
      </c>
      <c r="C16" s="199"/>
      <c r="D16" s="199"/>
      <c r="E16" s="199" t="s">
        <v>107</v>
      </c>
      <c r="F16" s="199" t="s">
        <v>138</v>
      </c>
      <c r="G16" s="199"/>
      <c r="H16" s="199"/>
    </row>
    <row r="17" customFormat="false" ht="14.4" hidden="false" customHeight="false" outlineLevel="0" collapsed="false">
      <c r="C17" s="199"/>
      <c r="D17" s="199"/>
      <c r="E17" s="199" t="s">
        <v>114</v>
      </c>
      <c r="F17" s="201" t="s">
        <v>139</v>
      </c>
      <c r="G17" s="201"/>
      <c r="H17" s="201"/>
    </row>
    <row r="18" customFormat="false" ht="14.4" hidden="false" customHeight="false" outlineLevel="0" collapsed="false">
      <c r="C18" s="199"/>
      <c r="D18" s="199"/>
      <c r="E18" s="199" t="s">
        <v>119</v>
      </c>
      <c r="F18" s="201" t="s">
        <v>119</v>
      </c>
      <c r="G18" s="201"/>
      <c r="H18" s="201"/>
    </row>
    <row r="19" customFormat="false" ht="14.4" hidden="false" customHeight="true" outlineLevel="0" collapsed="false">
      <c r="C19" s="199"/>
      <c r="D19" s="199"/>
      <c r="E19" s="199" t="s">
        <v>122</v>
      </c>
      <c r="F19" s="199" t="s">
        <v>140</v>
      </c>
      <c r="G19" s="199"/>
      <c r="H19" s="199"/>
      <c r="J19" s="200" t="str">
        <f aca="false">K19&amp;"_"&amp;L19</f>
        <v>Recherche_OUI</v>
      </c>
      <c r="K19" s="200" t="s">
        <v>87</v>
      </c>
      <c r="L19" s="185" t="s">
        <v>48</v>
      </c>
      <c r="M19" s="198" t="s">
        <v>131</v>
      </c>
    </row>
    <row r="20" customFormat="false" ht="14.4" hidden="false" customHeight="true" outlineLevel="0" collapsed="false">
      <c r="C20" s="199"/>
      <c r="D20" s="199"/>
      <c r="E20" s="199" t="s">
        <v>124</v>
      </c>
      <c r="F20" s="199" t="s">
        <v>141</v>
      </c>
      <c r="G20" s="199"/>
      <c r="H20" s="199"/>
      <c r="J20" s="200" t="str">
        <f aca="false">K20&amp;"_"&amp;L20</f>
        <v>Enseignement_OUI</v>
      </c>
      <c r="K20" s="200" t="s">
        <v>27</v>
      </c>
      <c r="L20" s="185" t="s">
        <v>48</v>
      </c>
      <c r="M20" s="198" t="s">
        <v>135</v>
      </c>
    </row>
    <row r="21" customFormat="false" ht="26.25" hidden="false" customHeight="true" outlineLevel="0" collapsed="false">
      <c r="C21" s="199" t="s">
        <v>142</v>
      </c>
      <c r="D21" s="199"/>
      <c r="E21" s="201" t="s">
        <v>89</v>
      </c>
      <c r="F21" s="202" t="s">
        <v>143</v>
      </c>
      <c r="G21" s="202"/>
      <c r="H21" s="202"/>
      <c r="J21" s="200" t="str">
        <f aca="false">K21&amp;"_"&amp;L21</f>
        <v>Recherche_NON</v>
      </c>
      <c r="K21" s="200" t="s">
        <v>87</v>
      </c>
      <c r="L21" s="185" t="s">
        <v>26</v>
      </c>
      <c r="M21" s="198" t="s">
        <v>132</v>
      </c>
    </row>
    <row r="22" customFormat="false" ht="14.4" hidden="false" customHeight="true" outlineLevel="0" collapsed="false">
      <c r="C22" s="199"/>
      <c r="D22" s="199"/>
      <c r="E22" s="199" t="s">
        <v>98</v>
      </c>
      <c r="F22" s="202" t="s">
        <v>144</v>
      </c>
      <c r="G22" s="202"/>
      <c r="H22" s="202"/>
      <c r="J22" s="200" t="str">
        <f aca="false">K22&amp;"_"&amp;L22</f>
        <v>Enseignement_NON</v>
      </c>
      <c r="K22" s="200" t="s">
        <v>27</v>
      </c>
      <c r="L22" s="185" t="s">
        <v>26</v>
      </c>
      <c r="M22" s="198" t="s">
        <v>136</v>
      </c>
    </row>
    <row r="23" customFormat="false" ht="14.4" hidden="false" customHeight="true" outlineLevel="0" collapsed="false">
      <c r="C23" s="199"/>
      <c r="D23" s="199"/>
      <c r="E23" s="199" t="s">
        <v>108</v>
      </c>
      <c r="F23" s="202" t="s">
        <v>145</v>
      </c>
      <c r="G23" s="202"/>
      <c r="H23" s="202"/>
      <c r="J23" s="200" t="str">
        <f aca="false">K23&amp;"_"&amp;L23</f>
        <v>Vacataire_OUI</v>
      </c>
      <c r="K23" s="200" t="s">
        <v>85</v>
      </c>
      <c r="L23" s="194" t="s">
        <v>48</v>
      </c>
      <c r="M23" s="203"/>
    </row>
    <row r="24" customFormat="false" ht="14.4" hidden="false" customHeight="true" outlineLevel="0" collapsed="false">
      <c r="C24" s="199"/>
      <c r="D24" s="199"/>
      <c r="E24" s="199" t="s">
        <v>115</v>
      </c>
      <c r="F24" s="202" t="s">
        <v>146</v>
      </c>
      <c r="G24" s="202"/>
      <c r="H24" s="202"/>
      <c r="J24" s="200" t="str">
        <f aca="false">K24&amp;"_"&amp;L24</f>
        <v>Vacataire_NON</v>
      </c>
      <c r="K24" s="200" t="s">
        <v>85</v>
      </c>
      <c r="L24" s="194" t="s">
        <v>26</v>
      </c>
      <c r="M24" s="203"/>
    </row>
    <row r="25" customFormat="false" ht="14.4" hidden="false" customHeight="true" outlineLevel="0" collapsed="false">
      <c r="C25" s="199"/>
      <c r="D25" s="199"/>
      <c r="E25" s="199" t="s">
        <v>120</v>
      </c>
      <c r="F25" s="202" t="s">
        <v>147</v>
      </c>
      <c r="G25" s="202"/>
      <c r="H25" s="202"/>
      <c r="J25" s="200" t="str">
        <f aca="false">K25&amp;"_"&amp;L25</f>
        <v>_</v>
      </c>
      <c r="K25" s="185"/>
      <c r="L25" s="185"/>
      <c r="M25" s="204"/>
    </row>
    <row r="26" customFormat="false" ht="57.6" hidden="false" customHeight="true" outlineLevel="0" collapsed="false">
      <c r="C26" s="199"/>
      <c r="D26" s="199"/>
      <c r="E26" s="199" t="s">
        <v>123</v>
      </c>
      <c r="F26" s="202" t="s">
        <v>148</v>
      </c>
      <c r="G26" s="202"/>
      <c r="H26" s="202"/>
      <c r="J26" s="205" t="str">
        <f aca="false">K26&amp;"_"&amp;L26</f>
        <v>Vacataire_Vacataire académique (Formateur indépendant)</v>
      </c>
      <c r="K26" s="200" t="s">
        <v>85</v>
      </c>
      <c r="L26" s="189" t="s">
        <v>94</v>
      </c>
      <c r="M26" s="192" t="s">
        <v>95</v>
      </c>
    </row>
    <row r="27" customFormat="false" ht="15.6" hidden="false" customHeight="true" outlineLevel="0" collapsed="false">
      <c r="C27" s="199"/>
      <c r="D27" s="199"/>
      <c r="E27" s="199" t="s">
        <v>125</v>
      </c>
      <c r="F27" s="202" t="s">
        <v>149</v>
      </c>
      <c r="G27" s="202"/>
      <c r="H27" s="202"/>
      <c r="J27" s="205" t="str">
        <f aca="false">K27&amp;"_"&amp;L27</f>
        <v>Vacataire_Industriel</v>
      </c>
      <c r="K27" s="200" t="s">
        <v>85</v>
      </c>
      <c r="L27" s="189" t="s">
        <v>103</v>
      </c>
      <c r="M27" s="193" t="s">
        <v>150</v>
      </c>
    </row>
    <row r="28" customFormat="false" ht="27.6" hidden="false" customHeight="true" outlineLevel="0" collapsed="false">
      <c r="C28" s="201" t="s">
        <v>151</v>
      </c>
      <c r="D28" s="201"/>
      <c r="E28" s="199" t="s">
        <v>152</v>
      </c>
      <c r="F28" s="199" t="s">
        <v>153</v>
      </c>
      <c r="G28" s="199"/>
      <c r="H28" s="199"/>
      <c r="J28" s="205" t="str">
        <f aca="false">K28&amp;"_"&amp;L28</f>
        <v>Vacataire_Consultant formateur</v>
      </c>
      <c r="K28" s="200" t="s">
        <v>85</v>
      </c>
      <c r="L28" s="189" t="s">
        <v>111</v>
      </c>
      <c r="M28" s="195" t="s">
        <v>112</v>
      </c>
    </row>
    <row r="29" customFormat="false" ht="28.8" hidden="false" customHeight="false" outlineLevel="0" collapsed="false">
      <c r="C29" s="201" t="s">
        <v>154</v>
      </c>
      <c r="D29" s="201"/>
      <c r="E29" s="201" t="s">
        <v>103</v>
      </c>
      <c r="F29" s="201" t="s">
        <v>155</v>
      </c>
      <c r="G29" s="201"/>
      <c r="H29" s="201"/>
      <c r="J29" s="205" t="str">
        <f aca="false">K29&amp;"_"&amp;L29</f>
        <v>Vacataire_Vacataire pour les langues</v>
      </c>
      <c r="K29" s="200" t="s">
        <v>85</v>
      </c>
      <c r="L29" s="189" t="s">
        <v>117</v>
      </c>
      <c r="M29" s="195" t="s">
        <v>118</v>
      </c>
    </row>
    <row r="30" customFormat="false" ht="14.4" hidden="false" customHeight="true" outlineLevel="0" collapsed="false">
      <c r="C30" s="201"/>
      <c r="D30" s="201"/>
      <c r="E30" s="199" t="s">
        <v>111</v>
      </c>
      <c r="F30" s="206" t="s">
        <v>156</v>
      </c>
      <c r="G30" s="206"/>
      <c r="H30" s="206"/>
    </row>
    <row r="31" customFormat="false" ht="14.4" hidden="false" customHeight="false" outlineLevel="0" collapsed="false">
      <c r="C31" s="201" t="s">
        <v>157</v>
      </c>
      <c r="D31" s="201"/>
      <c r="E31" s="199" t="s">
        <v>117</v>
      </c>
      <c r="F31" s="201" t="s">
        <v>158</v>
      </c>
      <c r="G31" s="201"/>
      <c r="H31" s="201"/>
    </row>
    <row r="33" customFormat="false" ht="144" hidden="false" customHeight="false" outlineLevel="0" collapsed="false">
      <c r="C33" s="198" t="s">
        <v>106</v>
      </c>
      <c r="D33" s="189" t="s">
        <v>159</v>
      </c>
      <c r="E33" s="189" t="s">
        <v>160</v>
      </c>
      <c r="F33" s="185" t="s">
        <v>161</v>
      </c>
      <c r="G33" s="189" t="s">
        <v>162</v>
      </c>
      <c r="H33" s="189" t="s">
        <v>163</v>
      </c>
      <c r="I33" s="189" t="s">
        <v>164</v>
      </c>
      <c r="J33" s="189" t="s">
        <v>165</v>
      </c>
      <c r="K33" s="207" t="s">
        <v>166</v>
      </c>
      <c r="L33" s="189" t="s">
        <v>167</v>
      </c>
      <c r="M33" s="189" t="s">
        <v>168</v>
      </c>
      <c r="N33" s="190" t="s">
        <v>169</v>
      </c>
      <c r="O33" s="189" t="s">
        <v>170</v>
      </c>
    </row>
    <row r="34" customFormat="false" ht="144" hidden="false" customHeight="false" outlineLevel="0" collapsed="false">
      <c r="C34" s="198" t="s">
        <v>25</v>
      </c>
      <c r="D34" s="189" t="s">
        <v>159</v>
      </c>
      <c r="E34" s="189" t="s">
        <v>160</v>
      </c>
      <c r="F34" s="185" t="s">
        <v>161</v>
      </c>
      <c r="G34" s="189" t="s">
        <v>162</v>
      </c>
      <c r="H34" s="189" t="s">
        <v>163</v>
      </c>
      <c r="I34" s="189" t="s">
        <v>164</v>
      </c>
      <c r="J34" s="189" t="s">
        <v>165</v>
      </c>
      <c r="K34" s="189" t="s">
        <v>171</v>
      </c>
      <c r="L34" s="189"/>
      <c r="M34" s="189"/>
      <c r="N34" s="190" t="s">
        <v>172</v>
      </c>
      <c r="O34" s="189" t="s">
        <v>173</v>
      </c>
    </row>
    <row r="35" customFormat="false" ht="98.25" hidden="false" customHeight="true" outlineLevel="0" collapsed="false">
      <c r="C35" s="189" t="s">
        <v>96</v>
      </c>
      <c r="D35" s="203"/>
      <c r="E35" s="203"/>
      <c r="F35" s="203"/>
      <c r="G35" s="203"/>
      <c r="H35" s="203"/>
      <c r="I35" s="203"/>
      <c r="J35" s="203"/>
      <c r="K35" s="189" t="s">
        <v>174</v>
      </c>
      <c r="L35" s="189" t="s">
        <v>175</v>
      </c>
      <c r="M35" s="189" t="s">
        <v>176</v>
      </c>
      <c r="N35" s="190" t="s">
        <v>177</v>
      </c>
      <c r="O35" s="189" t="s">
        <v>178</v>
      </c>
    </row>
    <row r="38" customFormat="false" ht="14.4" hidden="false" customHeight="false" outlineLevel="0" collapsed="false">
      <c r="F38" s="0" t="s">
        <v>179</v>
      </c>
      <c r="G38" s="0" t="s">
        <v>180</v>
      </c>
      <c r="H38" s="0" t="s">
        <v>181</v>
      </c>
    </row>
  </sheetData>
  <mergeCells count="23">
    <mergeCell ref="C14:D20"/>
    <mergeCell ref="F14:H14"/>
    <mergeCell ref="F15:H15"/>
    <mergeCell ref="F16:H16"/>
    <mergeCell ref="F17:H17"/>
    <mergeCell ref="F18:H18"/>
    <mergeCell ref="F19:H19"/>
    <mergeCell ref="F20:H20"/>
    <mergeCell ref="C21:D27"/>
    <mergeCell ref="F21:H21"/>
    <mergeCell ref="F22:H22"/>
    <mergeCell ref="F23:H23"/>
    <mergeCell ref="F24:H24"/>
    <mergeCell ref="F25:H25"/>
    <mergeCell ref="F26:H26"/>
    <mergeCell ref="F27:H27"/>
    <mergeCell ref="C28:D28"/>
    <mergeCell ref="F28:H28"/>
    <mergeCell ref="C29:D30"/>
    <mergeCell ref="F29:H29"/>
    <mergeCell ref="F30:H30"/>
    <mergeCell ref="C31:D31"/>
    <mergeCell ref="F31:H31"/>
  </mergeCells>
  <dataValidations count="1">
    <dataValidation allowBlank="true" operator="between" showDropDown="false" showErrorMessage="true" showInputMessage="true" sqref="F2:F9" type="list">
      <formula1>$F$2:$F$9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8"/>
  <sheetViews>
    <sheetView showFormulas="false" showGridLines="true" showRowColHeaders="true" showZeros="false" rightToLeft="false" tabSelected="false" showOutlineSymbols="true" defaultGridColor="true" view="pageBreakPreview" topLeftCell="C1" colorId="64" zoomScale="100" zoomScaleNormal="80" zoomScalePageLayoutView="100" workbookViewId="0">
      <selection pane="topLeft" activeCell="J5" activeCellId="0" sqref="J5"/>
    </sheetView>
  </sheetViews>
  <sheetFormatPr defaultRowHeight="14.4" zeroHeight="false" outlineLevelRow="0" outlineLevelCol="0"/>
  <cols>
    <col collapsed="false" customWidth="true" hidden="false" outlineLevel="0" max="1" min="1" style="0" width="10.43"/>
    <col collapsed="false" customWidth="true" hidden="false" outlineLevel="0" max="2" min="2" style="0" width="31.33"/>
    <col collapsed="false" customWidth="true" hidden="false" outlineLevel="0" max="3" min="3" style="0" width="32.11"/>
    <col collapsed="false" customWidth="true" hidden="false" outlineLevel="0" max="4" min="4" style="0" width="10.55"/>
    <col collapsed="false" customWidth="true" hidden="false" outlineLevel="0" max="5" min="5" style="0" width="31"/>
    <col collapsed="false" customWidth="true" hidden="false" outlineLevel="0" max="6" min="6" style="0" width="25.45"/>
    <col collapsed="false" customWidth="true" hidden="false" outlineLevel="0" max="7" min="7" style="0" width="24.89"/>
    <col collapsed="false" customWidth="true" hidden="false" outlineLevel="0" max="8" min="8" style="0" width="29.45"/>
    <col collapsed="false" customWidth="true" hidden="false" outlineLevel="0" max="9" min="9" style="0" width="10.43"/>
    <col collapsed="false" customWidth="true" hidden="false" outlineLevel="0" max="10" min="10" style="0" width="20.55"/>
    <col collapsed="false" customWidth="true" hidden="false" outlineLevel="0" max="11" min="11" style="0" width="16.89"/>
    <col collapsed="false" customWidth="true" hidden="false" outlineLevel="0" max="12" min="12" style="0" width="18.67"/>
    <col collapsed="false" customWidth="true" hidden="false" outlineLevel="0" max="13" min="13" style="0" width="10.43"/>
    <col collapsed="false" customWidth="true" hidden="false" outlineLevel="0" max="14" min="14" style="0" width="27.66"/>
    <col collapsed="false" customWidth="true" hidden="false" outlineLevel="0" max="15" min="15" style="0" width="26.89"/>
    <col collapsed="false" customWidth="true" hidden="false" outlineLevel="0" max="1025" min="16" style="0" width="10.43"/>
  </cols>
  <sheetData>
    <row r="1" customFormat="false" ht="14.4" hidden="false" customHeight="false" outlineLevel="0" collapsed="false">
      <c r="A1" s="184"/>
      <c r="B1" s="184" t="s">
        <v>77</v>
      </c>
      <c r="C1" s="0" t="s">
        <v>78</v>
      </c>
      <c r="D1" s="184"/>
      <c r="E1" s="184" t="s">
        <v>79</v>
      </c>
      <c r="F1" s="184" t="s">
        <v>80</v>
      </c>
      <c r="G1" s="184" t="s">
        <v>81</v>
      </c>
      <c r="H1" s="184" t="s">
        <v>82</v>
      </c>
      <c r="I1" s="184" t="s">
        <v>83</v>
      </c>
      <c r="J1" s="185"/>
      <c r="K1" s="186" t="s">
        <v>84</v>
      </c>
      <c r="L1" s="187" t="s">
        <v>85</v>
      </c>
      <c r="M1" s="188"/>
      <c r="N1" s="187"/>
    </row>
    <row r="2" customFormat="false" ht="14.4" hidden="false" customHeight="false" outlineLevel="0" collapsed="false">
      <c r="A2" s="184"/>
      <c r="B2" s="184"/>
      <c r="C2" s="184"/>
      <c r="D2" s="184"/>
      <c r="E2" s="184"/>
      <c r="F2" s="184"/>
      <c r="G2" s="184"/>
      <c r="H2" s="184"/>
      <c r="I2" s="184"/>
      <c r="J2" s="185"/>
      <c r="K2" s="186"/>
      <c r="L2" s="189"/>
      <c r="M2" s="185"/>
      <c r="N2" s="185"/>
    </row>
    <row r="3" customFormat="false" ht="57.6" hidden="false" customHeight="false" outlineLevel="0" collapsed="false">
      <c r="A3" s="185" t="s">
        <v>48</v>
      </c>
      <c r="B3" s="185" t="s">
        <v>86</v>
      </c>
      <c r="C3" s="189" t="s">
        <v>87</v>
      </c>
      <c r="D3" s="185"/>
      <c r="E3" s="185" t="s">
        <v>25</v>
      </c>
      <c r="F3" s="190" t="s">
        <v>88</v>
      </c>
      <c r="G3" s="189" t="s">
        <v>89</v>
      </c>
      <c r="H3" s="185" t="s">
        <v>90</v>
      </c>
      <c r="I3" s="190" t="s">
        <v>91</v>
      </c>
      <c r="J3" s="191" t="s">
        <v>92</v>
      </c>
      <c r="K3" s="189" t="s">
        <v>93</v>
      </c>
      <c r="L3" s="189" t="s">
        <v>94</v>
      </c>
      <c r="M3" s="192" t="s">
        <v>95</v>
      </c>
      <c r="N3" s="189"/>
    </row>
    <row r="4" customFormat="false" ht="43.2" hidden="false" customHeight="false" outlineLevel="0" collapsed="false">
      <c r="A4" s="185" t="s">
        <v>26</v>
      </c>
      <c r="B4" s="185" t="s">
        <v>22</v>
      </c>
      <c r="C4" s="189" t="s">
        <v>27</v>
      </c>
      <c r="D4" s="185"/>
      <c r="E4" s="185" t="s">
        <v>96</v>
      </c>
      <c r="F4" s="190" t="s">
        <v>97</v>
      </c>
      <c r="G4" s="189" t="s">
        <v>98</v>
      </c>
      <c r="H4" s="185" t="s">
        <v>99</v>
      </c>
      <c r="I4" s="190" t="s">
        <v>100</v>
      </c>
      <c r="J4" s="191" t="s">
        <v>110</v>
      </c>
      <c r="K4" s="189" t="s">
        <v>102</v>
      </c>
      <c r="L4" s="189" t="s">
        <v>103</v>
      </c>
      <c r="M4" s="193" t="s">
        <v>104</v>
      </c>
      <c r="N4" s="189"/>
    </row>
    <row r="5" customFormat="false" ht="28.8" hidden="false" customHeight="false" outlineLevel="0" collapsed="false">
      <c r="A5" s="185"/>
      <c r="B5" s="185" t="s">
        <v>105</v>
      </c>
      <c r="C5" s="185" t="s">
        <v>85</v>
      </c>
      <c r="D5" s="185"/>
      <c r="E5" s="185" t="s">
        <v>106</v>
      </c>
      <c r="F5" s="190" t="s">
        <v>107</v>
      </c>
      <c r="G5" s="189" t="s">
        <v>108</v>
      </c>
      <c r="H5" s="194" t="s">
        <v>109</v>
      </c>
      <c r="I5" s="190" t="s">
        <v>109</v>
      </c>
      <c r="K5" s="189"/>
      <c r="L5" s="189" t="s">
        <v>111</v>
      </c>
      <c r="M5" s="195" t="s">
        <v>112</v>
      </c>
    </row>
    <row r="6" customFormat="false" ht="28.8" hidden="false" customHeight="false" outlineLevel="0" collapsed="false">
      <c r="A6" s="185"/>
      <c r="B6" s="185" t="s">
        <v>113</v>
      </c>
      <c r="C6" s="185"/>
      <c r="D6" s="185"/>
      <c r="E6" s="185"/>
      <c r="F6" s="190" t="s">
        <v>114</v>
      </c>
      <c r="G6" s="189" t="s">
        <v>115</v>
      </c>
      <c r="H6" s="194" t="s">
        <v>116</v>
      </c>
      <c r="I6" s="189"/>
      <c r="J6" s="196"/>
      <c r="K6" s="189"/>
      <c r="L6" s="189" t="s">
        <v>117</v>
      </c>
      <c r="M6" s="195" t="s">
        <v>118</v>
      </c>
    </row>
    <row r="7" customFormat="false" ht="51" hidden="false" customHeight="true" outlineLevel="0" collapsed="false">
      <c r="A7" s="185"/>
      <c r="B7" s="189"/>
      <c r="C7" s="185"/>
      <c r="D7" s="185"/>
      <c r="E7" s="185"/>
      <c r="F7" s="190" t="s">
        <v>119</v>
      </c>
      <c r="G7" s="189" t="s">
        <v>120</v>
      </c>
      <c r="H7" s="194" t="s">
        <v>121</v>
      </c>
      <c r="I7" s="189"/>
      <c r="J7" s="196"/>
      <c r="K7" s="189"/>
      <c r="L7" s="189"/>
    </row>
    <row r="8" customFormat="false" ht="14.4" hidden="false" customHeight="false" outlineLevel="0" collapsed="false">
      <c r="A8" s="185"/>
      <c r="B8" s="185"/>
      <c r="C8" s="185"/>
      <c r="D8" s="185"/>
      <c r="E8" s="185"/>
      <c r="F8" s="190" t="s">
        <v>122</v>
      </c>
      <c r="G8" s="189" t="s">
        <v>123</v>
      </c>
      <c r="H8" s="185"/>
      <c r="I8" s="189"/>
      <c r="J8" s="196"/>
      <c r="K8" s="189"/>
      <c r="L8" s="189"/>
    </row>
    <row r="9" customFormat="false" ht="14.4" hidden="false" customHeight="false" outlineLevel="0" collapsed="false">
      <c r="A9" s="185"/>
      <c r="B9" s="185"/>
      <c r="C9" s="185"/>
      <c r="D9" s="185"/>
      <c r="E9" s="185"/>
      <c r="F9" s="190" t="s">
        <v>124</v>
      </c>
      <c r="G9" s="189" t="s">
        <v>125</v>
      </c>
      <c r="H9" s="185"/>
      <c r="I9" s="185"/>
      <c r="J9" s="196"/>
      <c r="K9" s="189"/>
      <c r="L9" s="189"/>
    </row>
    <row r="12" customFormat="false" ht="14.4" hidden="false" customHeight="false" outlineLevel="0" collapsed="false">
      <c r="C12" s="197"/>
    </row>
    <row r="13" customFormat="false" ht="14.4" hidden="false" customHeight="false" outlineLevel="0" collapsed="false">
      <c r="J13" s="185"/>
      <c r="K13" s="198" t="s">
        <v>126</v>
      </c>
      <c r="L13" s="198" t="s">
        <v>127</v>
      </c>
    </row>
    <row r="14" customFormat="false" ht="14.4" hidden="false" customHeight="true" outlineLevel="0" collapsed="false">
      <c r="B14" s="185" t="s">
        <v>128</v>
      </c>
      <c r="C14" s="199" t="s">
        <v>129</v>
      </c>
      <c r="D14" s="199"/>
      <c r="E14" s="199" t="s">
        <v>88</v>
      </c>
      <c r="F14" s="199" t="s">
        <v>130</v>
      </c>
      <c r="G14" s="199"/>
      <c r="H14" s="199"/>
      <c r="J14" s="200" t="s">
        <v>80</v>
      </c>
      <c r="K14" s="198" t="s">
        <v>131</v>
      </c>
      <c r="L14" s="198" t="s">
        <v>132</v>
      </c>
    </row>
    <row r="15" customFormat="false" ht="28.8" hidden="false" customHeight="true" outlineLevel="0" collapsed="false">
      <c r="B15" s="189" t="s">
        <v>133</v>
      </c>
      <c r="C15" s="199"/>
      <c r="D15" s="199"/>
      <c r="E15" s="199" t="s">
        <v>97</v>
      </c>
      <c r="F15" s="199" t="s">
        <v>134</v>
      </c>
      <c r="G15" s="199"/>
      <c r="H15" s="199"/>
      <c r="J15" s="200" t="s">
        <v>27</v>
      </c>
      <c r="K15" s="198" t="s">
        <v>135</v>
      </c>
      <c r="L15" s="198" t="s">
        <v>136</v>
      </c>
    </row>
    <row r="16" customFormat="false" ht="57.6" hidden="false" customHeight="true" outlineLevel="0" collapsed="false">
      <c r="B16" s="189" t="s">
        <v>137</v>
      </c>
      <c r="C16" s="199"/>
      <c r="D16" s="199"/>
      <c r="E16" s="199" t="s">
        <v>107</v>
      </c>
      <c r="F16" s="199" t="s">
        <v>138</v>
      </c>
      <c r="G16" s="199"/>
      <c r="H16" s="199"/>
    </row>
    <row r="17" customFormat="false" ht="14.4" hidden="false" customHeight="false" outlineLevel="0" collapsed="false">
      <c r="C17" s="199"/>
      <c r="D17" s="199"/>
      <c r="E17" s="199" t="s">
        <v>114</v>
      </c>
      <c r="F17" s="201" t="s">
        <v>139</v>
      </c>
      <c r="G17" s="201"/>
      <c r="H17" s="201"/>
    </row>
    <row r="18" customFormat="false" ht="14.4" hidden="false" customHeight="false" outlineLevel="0" collapsed="false">
      <c r="C18" s="199"/>
      <c r="D18" s="199"/>
      <c r="E18" s="199" t="s">
        <v>119</v>
      </c>
      <c r="F18" s="201" t="s">
        <v>119</v>
      </c>
      <c r="G18" s="201"/>
      <c r="H18" s="201"/>
    </row>
    <row r="19" customFormat="false" ht="14.4" hidden="false" customHeight="true" outlineLevel="0" collapsed="false">
      <c r="C19" s="199"/>
      <c r="D19" s="199"/>
      <c r="E19" s="199" t="s">
        <v>122</v>
      </c>
      <c r="F19" s="199" t="s">
        <v>140</v>
      </c>
      <c r="G19" s="199"/>
      <c r="H19" s="199"/>
      <c r="J19" s="200" t="str">
        <f aca="false">K19&amp;"_"&amp;L19</f>
        <v>Recherche_OUI</v>
      </c>
      <c r="K19" s="200" t="s">
        <v>87</v>
      </c>
      <c r="L19" s="185" t="s">
        <v>48</v>
      </c>
      <c r="M19" s="198" t="s">
        <v>131</v>
      </c>
    </row>
    <row r="20" customFormat="false" ht="14.4" hidden="false" customHeight="true" outlineLevel="0" collapsed="false">
      <c r="C20" s="199"/>
      <c r="D20" s="199"/>
      <c r="E20" s="199" t="s">
        <v>124</v>
      </c>
      <c r="F20" s="199" t="s">
        <v>141</v>
      </c>
      <c r="G20" s="199"/>
      <c r="H20" s="199"/>
      <c r="J20" s="200" t="str">
        <f aca="false">K20&amp;"_"&amp;L20</f>
        <v>Enseignement_OUI</v>
      </c>
      <c r="K20" s="200" t="s">
        <v>27</v>
      </c>
      <c r="L20" s="185" t="s">
        <v>48</v>
      </c>
      <c r="M20" s="198" t="s">
        <v>135</v>
      </c>
    </row>
    <row r="21" customFormat="false" ht="26.25" hidden="false" customHeight="true" outlineLevel="0" collapsed="false">
      <c r="C21" s="199" t="s">
        <v>142</v>
      </c>
      <c r="D21" s="199"/>
      <c r="E21" s="201" t="s">
        <v>89</v>
      </c>
      <c r="F21" s="202" t="s">
        <v>143</v>
      </c>
      <c r="G21" s="202"/>
      <c r="H21" s="202"/>
      <c r="J21" s="200" t="str">
        <f aca="false">K21&amp;"_"&amp;L21</f>
        <v>Recherche_NON</v>
      </c>
      <c r="K21" s="200" t="s">
        <v>87</v>
      </c>
      <c r="L21" s="185" t="s">
        <v>26</v>
      </c>
      <c r="M21" s="198" t="s">
        <v>132</v>
      </c>
    </row>
    <row r="22" customFormat="false" ht="14.4" hidden="false" customHeight="true" outlineLevel="0" collapsed="false">
      <c r="C22" s="199"/>
      <c r="D22" s="199"/>
      <c r="E22" s="199" t="s">
        <v>98</v>
      </c>
      <c r="F22" s="202" t="s">
        <v>144</v>
      </c>
      <c r="G22" s="202"/>
      <c r="H22" s="202"/>
      <c r="J22" s="200" t="str">
        <f aca="false">K22&amp;"_"&amp;L22</f>
        <v>Enseignement_NON</v>
      </c>
      <c r="K22" s="200" t="s">
        <v>27</v>
      </c>
      <c r="L22" s="185" t="s">
        <v>26</v>
      </c>
      <c r="M22" s="198" t="s">
        <v>136</v>
      </c>
    </row>
    <row r="23" customFormat="false" ht="14.4" hidden="false" customHeight="true" outlineLevel="0" collapsed="false">
      <c r="C23" s="199"/>
      <c r="D23" s="199"/>
      <c r="E23" s="199" t="s">
        <v>108</v>
      </c>
      <c r="F23" s="202" t="s">
        <v>145</v>
      </c>
      <c r="G23" s="202"/>
      <c r="H23" s="202"/>
      <c r="J23" s="200" t="str">
        <f aca="false">K23&amp;"_"&amp;L23</f>
        <v>Vacataire_OUI</v>
      </c>
      <c r="K23" s="200" t="s">
        <v>85</v>
      </c>
      <c r="L23" s="194" t="s">
        <v>48</v>
      </c>
      <c r="M23" s="203"/>
    </row>
    <row r="24" customFormat="false" ht="14.4" hidden="false" customHeight="true" outlineLevel="0" collapsed="false">
      <c r="C24" s="199"/>
      <c r="D24" s="199"/>
      <c r="E24" s="199" t="s">
        <v>115</v>
      </c>
      <c r="F24" s="202" t="s">
        <v>146</v>
      </c>
      <c r="G24" s="202"/>
      <c r="H24" s="202"/>
      <c r="J24" s="200" t="str">
        <f aca="false">K24&amp;"_"&amp;L24</f>
        <v>Vacataire_NON</v>
      </c>
      <c r="K24" s="200" t="s">
        <v>85</v>
      </c>
      <c r="L24" s="194" t="s">
        <v>26</v>
      </c>
      <c r="M24" s="203"/>
    </row>
    <row r="25" customFormat="false" ht="14.4" hidden="false" customHeight="true" outlineLevel="0" collapsed="false">
      <c r="C25" s="199"/>
      <c r="D25" s="199"/>
      <c r="E25" s="199" t="s">
        <v>120</v>
      </c>
      <c r="F25" s="202" t="s">
        <v>147</v>
      </c>
      <c r="G25" s="202"/>
      <c r="H25" s="202"/>
      <c r="J25" s="200" t="str">
        <f aca="false">K25&amp;"_"&amp;L25</f>
        <v>_</v>
      </c>
      <c r="K25" s="185"/>
      <c r="L25" s="185"/>
      <c r="M25" s="204"/>
    </row>
    <row r="26" customFormat="false" ht="57.6" hidden="false" customHeight="true" outlineLevel="0" collapsed="false">
      <c r="C26" s="199"/>
      <c r="D26" s="199"/>
      <c r="E26" s="199" t="s">
        <v>123</v>
      </c>
      <c r="F26" s="202" t="s">
        <v>148</v>
      </c>
      <c r="G26" s="202"/>
      <c r="H26" s="202"/>
      <c r="J26" s="205" t="str">
        <f aca="false">K26&amp;"_"&amp;L26</f>
        <v>Vacataire_Vacataire académique (Formateur indépendant)</v>
      </c>
      <c r="K26" s="200" t="s">
        <v>85</v>
      </c>
      <c r="L26" s="189" t="s">
        <v>94</v>
      </c>
      <c r="M26" s="192" t="s">
        <v>95</v>
      </c>
    </row>
    <row r="27" customFormat="false" ht="15.6" hidden="false" customHeight="true" outlineLevel="0" collapsed="false">
      <c r="C27" s="199"/>
      <c r="D27" s="199"/>
      <c r="E27" s="199" t="s">
        <v>125</v>
      </c>
      <c r="F27" s="202" t="s">
        <v>149</v>
      </c>
      <c r="G27" s="202"/>
      <c r="H27" s="202"/>
      <c r="J27" s="205" t="str">
        <f aca="false">K27&amp;"_"&amp;L27</f>
        <v>Vacataire_Industriel</v>
      </c>
      <c r="K27" s="200" t="s">
        <v>85</v>
      </c>
      <c r="L27" s="189" t="s">
        <v>103</v>
      </c>
      <c r="M27" s="193" t="s">
        <v>150</v>
      </c>
    </row>
    <row r="28" customFormat="false" ht="27.6" hidden="false" customHeight="true" outlineLevel="0" collapsed="false">
      <c r="C28" s="201" t="s">
        <v>151</v>
      </c>
      <c r="D28" s="201"/>
      <c r="E28" s="199" t="s">
        <v>152</v>
      </c>
      <c r="F28" s="199" t="s">
        <v>153</v>
      </c>
      <c r="G28" s="199"/>
      <c r="H28" s="199"/>
      <c r="J28" s="205" t="str">
        <f aca="false">K28&amp;"_"&amp;L28</f>
        <v>Vacataire_Consultant formateur</v>
      </c>
      <c r="K28" s="200" t="s">
        <v>85</v>
      </c>
      <c r="L28" s="189" t="s">
        <v>111</v>
      </c>
      <c r="M28" s="195" t="s">
        <v>112</v>
      </c>
    </row>
    <row r="29" customFormat="false" ht="28.8" hidden="false" customHeight="false" outlineLevel="0" collapsed="false">
      <c r="C29" s="201" t="s">
        <v>154</v>
      </c>
      <c r="D29" s="201"/>
      <c r="E29" s="201" t="s">
        <v>103</v>
      </c>
      <c r="F29" s="201" t="s">
        <v>155</v>
      </c>
      <c r="G29" s="201"/>
      <c r="H29" s="201"/>
      <c r="J29" s="205" t="str">
        <f aca="false">K29&amp;"_"&amp;L29</f>
        <v>Vacataire_Vacataire pour les langues</v>
      </c>
      <c r="K29" s="200" t="s">
        <v>85</v>
      </c>
      <c r="L29" s="189" t="s">
        <v>117</v>
      </c>
      <c r="M29" s="195" t="s">
        <v>118</v>
      </c>
    </row>
    <row r="30" customFormat="false" ht="14.4" hidden="false" customHeight="true" outlineLevel="0" collapsed="false">
      <c r="C30" s="201"/>
      <c r="D30" s="201"/>
      <c r="E30" s="199" t="s">
        <v>111</v>
      </c>
      <c r="F30" s="206" t="s">
        <v>156</v>
      </c>
      <c r="G30" s="206"/>
      <c r="H30" s="206"/>
    </row>
    <row r="31" customFormat="false" ht="14.4" hidden="false" customHeight="false" outlineLevel="0" collapsed="false">
      <c r="C31" s="201" t="s">
        <v>157</v>
      </c>
      <c r="D31" s="201"/>
      <c r="E31" s="199" t="s">
        <v>117</v>
      </c>
      <c r="F31" s="201" t="s">
        <v>158</v>
      </c>
      <c r="G31" s="201"/>
      <c r="H31" s="201"/>
    </row>
    <row r="33" customFormat="false" ht="144" hidden="false" customHeight="false" outlineLevel="0" collapsed="false">
      <c r="C33" s="198" t="s">
        <v>106</v>
      </c>
      <c r="D33" s="189" t="s">
        <v>159</v>
      </c>
      <c r="E33" s="189" t="s">
        <v>160</v>
      </c>
      <c r="F33" s="185" t="s">
        <v>161</v>
      </c>
      <c r="G33" s="189" t="s">
        <v>162</v>
      </c>
      <c r="H33" s="189" t="s">
        <v>163</v>
      </c>
      <c r="I33" s="189" t="s">
        <v>164</v>
      </c>
      <c r="J33" s="189" t="s">
        <v>165</v>
      </c>
      <c r="K33" s="207" t="s">
        <v>166</v>
      </c>
      <c r="L33" s="189" t="s">
        <v>167</v>
      </c>
      <c r="M33" s="189" t="s">
        <v>168</v>
      </c>
      <c r="N33" s="190" t="s">
        <v>169</v>
      </c>
      <c r="O33" s="189" t="s">
        <v>170</v>
      </c>
    </row>
    <row r="34" customFormat="false" ht="144" hidden="false" customHeight="false" outlineLevel="0" collapsed="false">
      <c r="C34" s="198" t="s">
        <v>25</v>
      </c>
      <c r="D34" s="189" t="s">
        <v>159</v>
      </c>
      <c r="E34" s="189" t="s">
        <v>160</v>
      </c>
      <c r="F34" s="185" t="s">
        <v>161</v>
      </c>
      <c r="G34" s="189" t="s">
        <v>162</v>
      </c>
      <c r="H34" s="189" t="s">
        <v>163</v>
      </c>
      <c r="I34" s="189" t="s">
        <v>164</v>
      </c>
      <c r="J34" s="189" t="s">
        <v>165</v>
      </c>
      <c r="K34" s="189" t="s">
        <v>182</v>
      </c>
      <c r="L34" s="189"/>
      <c r="M34" s="189"/>
      <c r="N34" s="190" t="s">
        <v>172</v>
      </c>
      <c r="O34" s="189" t="s">
        <v>173</v>
      </c>
    </row>
    <row r="35" customFormat="false" ht="98.25" hidden="false" customHeight="true" outlineLevel="0" collapsed="false">
      <c r="C35" s="189" t="s">
        <v>96</v>
      </c>
      <c r="D35" s="203"/>
      <c r="E35" s="203"/>
      <c r="F35" s="203"/>
      <c r="G35" s="203"/>
      <c r="H35" s="203"/>
      <c r="I35" s="203"/>
      <c r="J35" s="203"/>
      <c r="K35" s="189" t="s">
        <v>174</v>
      </c>
      <c r="L35" s="189" t="s">
        <v>175</v>
      </c>
      <c r="M35" s="189" t="s">
        <v>176</v>
      </c>
      <c r="N35" s="190" t="s">
        <v>177</v>
      </c>
      <c r="O35" s="189" t="s">
        <v>178</v>
      </c>
    </row>
    <row r="38" customFormat="false" ht="14.4" hidden="false" customHeight="false" outlineLevel="0" collapsed="false">
      <c r="F38" s="0" t="s">
        <v>179</v>
      </c>
      <c r="G38" s="0" t="s">
        <v>180</v>
      </c>
      <c r="H38" s="0" t="s">
        <v>181</v>
      </c>
    </row>
  </sheetData>
  <mergeCells count="23">
    <mergeCell ref="C14:D20"/>
    <mergeCell ref="F14:H14"/>
    <mergeCell ref="F15:H15"/>
    <mergeCell ref="F16:H16"/>
    <mergeCell ref="F17:H17"/>
    <mergeCell ref="F18:H18"/>
    <mergeCell ref="F19:H19"/>
    <mergeCell ref="F20:H20"/>
    <mergeCell ref="C21:D27"/>
    <mergeCell ref="F21:H21"/>
    <mergeCell ref="F22:H22"/>
    <mergeCell ref="F23:H23"/>
    <mergeCell ref="F24:H24"/>
    <mergeCell ref="F25:H25"/>
    <mergeCell ref="F26:H26"/>
    <mergeCell ref="F27:H27"/>
    <mergeCell ref="C28:D28"/>
    <mergeCell ref="F28:H28"/>
    <mergeCell ref="C29:D30"/>
    <mergeCell ref="F29:H29"/>
    <mergeCell ref="F30:H30"/>
    <mergeCell ref="C31:D31"/>
    <mergeCell ref="F31:H31"/>
  </mergeCells>
  <dataValidations count="1">
    <dataValidation allowBlank="true" operator="between" showDropDown="false" showErrorMessage="true" showInputMessage="true" sqref="F2:F9" type="list">
      <formula1>$F$2:$F$9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2014-09-08T08:00:41Z</dcterms:created>
  <dc:creator>Cappoen Pauline</dc:creator>
  <dc:description/>
  <dc:language>fr-FR</dc:language>
  <cp:lastModifiedBy/>
  <cp:lastPrinted>2020-07-08T09:54:05Z</cp:lastPrinted>
  <dcterms:modified xsi:type="dcterms:W3CDTF">2020-10-25T17:12:26Z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